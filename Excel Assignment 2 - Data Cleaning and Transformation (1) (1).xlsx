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xr:revisionPtr revIDLastSave="0" documentId="8_{1A1BE6FA-ED50-44AD-92F6-B567B2FCAB26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Instructions" sheetId="1" r:id="rId1"/>
    <sheet name="Datase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J3" i="2"/>
  <c r="J2" i="2"/>
  <c r="J4" i="2"/>
  <c r="J5" i="2"/>
  <c r="J6" i="2"/>
  <c r="J7" i="2"/>
  <c r="J8" i="2"/>
  <c r="J9" i="2"/>
  <c r="J10" i="2"/>
  <c r="J11" i="2"/>
  <c r="J12" i="2"/>
  <c r="J15" i="2"/>
  <c r="J16" i="2"/>
  <c r="J17" i="2"/>
  <c r="J18" i="2"/>
  <c r="J19" i="2"/>
  <c r="J20" i="2"/>
  <c r="J21" i="2"/>
  <c r="J22" i="2"/>
  <c r="J23" i="2"/>
  <c r="J25" i="2"/>
  <c r="J26" i="2"/>
  <c r="J27" i="2"/>
  <c r="J28" i="2"/>
  <c r="J29" i="2"/>
  <c r="J30" i="2"/>
  <c r="J31" i="2"/>
  <c r="J32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</calcChain>
</file>

<file path=xl/sharedStrings.xml><?xml version="1.0" encoding="utf-8"?>
<sst xmlns="http://schemas.openxmlformats.org/spreadsheetml/2006/main" count="245" uniqueCount="142">
  <si>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</si>
  <si>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</si>
  <si>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</si>
  <si>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</si>
  <si>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</si>
  <si>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</si>
  <si>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</si>
  <si>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</si>
  <si>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</si>
  <si>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</si>
  <si>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</si>
  <si>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</si>
  <si>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</si>
  <si>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</si>
  <si>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</si>
  <si>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</si>
  <si>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</si>
  <si>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</si>
  <si>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</si>
  <si>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</si>
  <si>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Country code</t>
  </si>
  <si>
    <t>Product Name</t>
  </si>
  <si>
    <t>Brand Name</t>
  </si>
  <si>
    <t>Product Brand</t>
  </si>
  <si>
    <t>Price ($)</t>
  </si>
  <si>
    <t>Price cleaning</t>
  </si>
  <si>
    <t>Quantity</t>
  </si>
  <si>
    <t>Category</t>
  </si>
  <si>
    <t>Category clean</t>
  </si>
  <si>
    <t>Manufacturing Date</t>
  </si>
  <si>
    <t>Country code3</t>
  </si>
  <si>
    <t>28-JAN-US</t>
  </si>
  <si>
    <t>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</si>
  <si>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</si>
  <si>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</si>
  <si>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</si>
  <si>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</si>
  <si>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</si>
  <si>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</si>
  <si>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</si>
  <si>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</si>
  <si>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</si>
  <si>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</si>
  <si>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</si>
  <si>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</si>
  <si>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</si>
  <si>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</si>
  <si>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</si>
  <si>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</si>
  <si>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</si>
  <si>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</si>
  <si>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</si>
  <si>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</si>
  <si>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</si>
  <si>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</si>
  <si>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</si>
  <si>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</si>
  <si>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</si>
  <si>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</si>
  <si>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</si>
  <si>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</si>
  <si>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</si>
  <si>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</si>
  <si>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</si>
  <si>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</si>
  <si>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</si>
  <si>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</si>
  <si>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</si>
  <si>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IN</t>
  </si>
  <si>
    <t>HP</t>
  </si>
  <si>
    <t>25-NOV-AU</t>
  </si>
  <si>
    <t>AU</t>
  </si>
  <si>
    <t>08-DEC-DE</t>
  </si>
  <si>
    <t>DE</t>
  </si>
  <si>
    <t>Nespresso</t>
  </si>
  <si>
    <t>18-FEB-CA</t>
  </si>
  <si>
    <t>CA</t>
  </si>
  <si>
    <t>Smartwatch</t>
  </si>
  <si>
    <t>Fitbit</t>
  </si>
  <si>
    <t>16-APR-ES</t>
  </si>
  <si>
    <t>ES</t>
  </si>
  <si>
    <t>Bose</t>
  </si>
  <si>
    <t>21-AUG-CA</t>
  </si>
  <si>
    <t>Laptop Bag</t>
  </si>
  <si>
    <t>Samsonite</t>
  </si>
  <si>
    <t>Accessories</t>
  </si>
  <si>
    <t>20-AUG-CN</t>
  </si>
  <si>
    <t>CN</t>
  </si>
  <si>
    <t>Huawei</t>
  </si>
  <si>
    <t>27-JAN-IT</t>
  </si>
  <si>
    <t>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</si>
  <si>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</si>
  <si>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</si>
  <si>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</si>
  <si>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</si>
  <si>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</si>
  <si>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</si>
  <si>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</si>
  <si>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</si>
  <si>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RU</t>
  </si>
  <si>
    <t>Camera</t>
  </si>
  <si>
    <t>Nikon</t>
  </si>
  <si>
    <t>09-JAN-CA</t>
  </si>
  <si>
    <t>Microwave</t>
  </si>
  <si>
    <t>Panasonic</t>
  </si>
  <si>
    <t>19-JUL-BR</t>
  </si>
  <si>
    <t>BR</t>
  </si>
  <si>
    <t>Fitness Tracker</t>
  </si>
  <si>
    <t>Xiaomi</t>
  </si>
  <si>
    <t>Electronicscs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</si>
  <si>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</si>
  <si>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</si>
  <si>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</si>
  <si>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</si>
  <si>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</si>
  <si>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</si>
  <si>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</si>
  <si>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</si>
  <si>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</si>
  <si>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</si>
  <si>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</si>
  <si>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</si>
  <si>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</si>
  <si>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</si>
  <si>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</si>
  <si>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</si>
  <si>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</si>
  <si>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</si>
  <si>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FR</t>
  </si>
  <si>
    <t>Watch</t>
  </si>
  <si>
    <t>Casio</t>
  </si>
  <si>
    <r>
      <rPr>
        <b/>
        <sz val="10"/>
        <color rgb="FF000000"/>
        <rFont val="Arial"/>
      </rPr>
      <t>ans</t>
    </r>
    <r>
      <rPr>
        <sz val="10"/>
        <color rgb="FF000000"/>
        <rFont val="Arial"/>
      </rPr>
      <t>)first we can count missing values in price column,then impute mean or median for handling missing price.In this dataset impute median of price to missing values.</t>
    </r>
  </si>
  <si>
    <r>
      <rPr>
        <b/>
        <sz val="10"/>
        <color rgb="FF000000"/>
        <rFont val="Arial"/>
      </rPr>
      <t>ans</t>
    </r>
    <r>
      <rPr>
        <sz val="10"/>
        <color rgb="FF000000"/>
        <rFont val="Arial"/>
      </rPr>
      <t xml:space="preserve">)for missing categories we can impute mode,but in this dataset there is no mode value so we can  enter manually on the basis of product name </t>
    </r>
  </si>
  <si>
    <r>
      <rPr>
        <b/>
        <sz val="10"/>
        <color rgb="FF000000"/>
        <rFont val="Arial"/>
      </rPr>
      <t>ans)I</t>
    </r>
    <r>
      <rPr>
        <sz val="10"/>
        <color rgb="FF000000"/>
        <rFont val="Arial"/>
      </rPr>
      <t xml:space="preserve">n this dataset need to correct capitallization in column 'Product name' For inconsistantancy we can use find and replace tool </t>
    </r>
  </si>
  <si>
    <t>ans)typos present in electroni ,it replace to Electronics</t>
  </si>
  <si>
    <r>
      <rPr>
        <b/>
        <sz val="10"/>
        <color rgb="FF000000"/>
        <rFont val="Arial"/>
        <scheme val="minor"/>
      </rPr>
      <t>ans</t>
    </r>
    <r>
      <rPr>
        <sz val="10"/>
        <color rgb="FF000000"/>
        <rFont val="Arial"/>
        <scheme val="minor"/>
      </rPr>
      <t xml:space="preserve">)In this dataset need to correct capitallization in column 'Product name' For inconsistantancy we can use find and replace tool ,ans)typos present in electroni ,it replace to Electronics							</t>
    </r>
  </si>
  <si>
    <t>ans)There is 3duplicates and its removed.</t>
  </si>
  <si>
    <r>
      <rPr>
        <b/>
        <sz val="10"/>
        <color rgb="FF000000"/>
        <rFont val="Arial"/>
        <scheme val="minor"/>
      </rPr>
      <t>ans</t>
    </r>
    <r>
      <rPr>
        <sz val="10"/>
        <color rgb="FF000000"/>
        <rFont val="Arial"/>
        <scheme val="minor"/>
      </rPr>
      <t>)Removed unnecessory charectors and split column {Product ID to Manufacturing Date and Country Code</t>
    </r>
  </si>
  <si>
    <r>
      <rPr>
        <b/>
        <sz val="10"/>
        <color rgb="FF000000"/>
        <rFont val="Arial"/>
        <scheme val="minor"/>
      </rPr>
      <t>ans)</t>
    </r>
    <r>
      <rPr>
        <sz val="10"/>
        <color rgb="FF000000"/>
        <rFont val="Arial"/>
        <scheme val="minor"/>
      </rPr>
      <t>Created new column named Product Brand</t>
    </r>
  </si>
  <si>
    <r>
      <rPr>
        <b/>
        <sz val="10"/>
        <color rgb="FF000000"/>
        <rFont val="Arial"/>
        <scheme val="minor"/>
      </rPr>
      <t>ans)</t>
    </r>
    <r>
      <rPr>
        <sz val="10"/>
        <color rgb="FF000000"/>
        <rFont val="Arial"/>
        <scheme val="minor"/>
      </rPr>
      <t>Data type of column Price formatted to currency format</t>
    </r>
  </si>
  <si>
    <r>
      <rPr>
        <b/>
        <sz val="10"/>
        <color rgb="FF000000"/>
        <rFont val="Arial"/>
        <scheme val="minor"/>
      </rPr>
      <t>ans)</t>
    </r>
    <r>
      <rPr>
        <sz val="10"/>
        <color rgb="FF000000"/>
        <rFont val="Arial"/>
        <scheme val="minor"/>
      </rPr>
      <t>Manufacturing date column to display dates in dd-mm-yyyy format</t>
    </r>
  </si>
  <si>
    <r>
      <rPr>
        <b/>
        <sz val="10"/>
        <color rgb="FF000000"/>
        <rFont val="Arial"/>
        <scheme val="minor"/>
      </rPr>
      <t>ans)</t>
    </r>
    <r>
      <rPr>
        <sz val="10"/>
        <color rgb="FF000000"/>
        <rFont val="Arial"/>
        <scheme val="minor"/>
      </rPr>
      <t>Applied data bar conditional formatting in Price column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</si>
</sst>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[$-F800]dddd\,\ mmmm\ dd\,\ yyyy"/>
    <numFmt numFmtId="166" formatCode="[$-409]d\-mmm\-yyyy;@"/>
  </numFmts>
  <fonts count="12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2"/>
      <color rgb="FF000000"/>
      <name val="Times New Roman"/>
      <charset val="1"/>
    </font>
    <font>
      <b/>
      <sz val="10"/>
      <color rgb="FF000000"/>
      <name val="Arial"/>
      <scheme val="minor"/>
    </font>
    <font>
      <b/>
      <sz val="10"/>
      <color rgb="FF000000"/>
      <name val="Arial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/>
    <xf numFmtId="0" fontId="5" fillId="0" borderId="0" xfId="0" applyFont="1" applyAlignment="1"/>
    <xf numFmtId="0" fontId="3" fillId="0" borderId="0" xfId="0" applyFont="1" applyAlignment="1"/>
    <xf numFmtId="0" fontId="6" fillId="0" borderId="0" xfId="0" applyFont="1" applyAlignment="1"/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wrapText="1"/>
    </xf>
    <xf numFmtId="0" fontId="3" fillId="0" borderId="0" xfId="0" applyFont="1" applyAlignment="1">
      <alignment wrapText="1"/>
    </xf>
    <xf numFmtId="165" fontId="5" fillId="0" borderId="1" xfId="0" applyNumberFormat="1" applyFont="1" applyBorder="1"/>
    <xf numFmtId="165" fontId="5" fillId="3" borderId="1" xfId="0" applyNumberFormat="1" applyFont="1" applyFill="1" applyBorder="1"/>
    <xf numFmtId="0" fontId="5" fillId="0" borderId="1" xfId="0" applyFont="1" applyBorder="1" applyAlignment="1"/>
    <xf numFmtId="0" fontId="5" fillId="0" borderId="1" xfId="0" applyFont="1" applyBorder="1"/>
    <xf numFmtId="0" fontId="5" fillId="0" borderId="1" xfId="0" applyFont="1" applyBorder="1" applyAlignment="1">
      <alignment wrapText="1"/>
    </xf>
    <xf numFmtId="164" fontId="5" fillId="0" borderId="1" xfId="0" applyNumberFormat="1" applyFont="1" applyBorder="1"/>
    <xf numFmtId="0" fontId="5" fillId="3" borderId="1" xfId="0" applyNumberFormat="1" applyFont="1" applyFill="1" applyBorder="1" applyAlignment="1">
      <alignment wrapText="1"/>
    </xf>
    <xf numFmtId="0" fontId="5" fillId="3" borderId="1" xfId="0" applyFont="1" applyFill="1" applyBorder="1" applyAlignment="1"/>
    <xf numFmtId="0" fontId="5" fillId="3" borderId="1" xfId="0" applyFont="1" applyFill="1" applyBorder="1"/>
    <xf numFmtId="164" fontId="5" fillId="3" borderId="1" xfId="0" applyNumberFormat="1" applyFont="1" applyFill="1" applyBorder="1"/>
    <xf numFmtId="0" fontId="0" fillId="0" borderId="1" xfId="0" applyFont="1" applyBorder="1" applyAlignment="1"/>
    <xf numFmtId="0" fontId="5" fillId="3" borderId="2" xfId="0" applyFont="1" applyFill="1" applyBorder="1" applyAlignment="1"/>
    <xf numFmtId="0" fontId="5" fillId="3" borderId="3" xfId="0" applyFont="1" applyFill="1" applyBorder="1" applyAlignment="1"/>
    <xf numFmtId="166" fontId="5" fillId="3" borderId="1" xfId="0" applyNumberFormat="1" applyFont="1" applyFill="1" applyBorder="1" applyAlignment="1"/>
    <xf numFmtId="166" fontId="5" fillId="0" borderId="1" xfId="0" applyNumberFormat="1" applyFont="1" applyBorder="1" applyAlignment="1"/>
    <xf numFmtId="0" fontId="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1" fillId="0" borderId="0" xfId="0" applyFont="1" applyAlignment="1">
      <alignment horizontal="center" wrapText="1"/>
    </xf>
    <xf numFmtId="0" fontId="0" fillId="0" borderId="0" xfId="0" applyFont="1" applyAlignment="1">
      <alignment horizontal="center" wrapText="1"/>
    </xf>
    <xf numFmtId="0" fontId="8" fillId="0" borderId="0" xfId="0" applyFont="1" applyAlignment="1">
      <alignment horizontal="center" wrapText="1"/>
    </xf>
    <xf numFmtId="0" fontId="11" fillId="0" borderId="0" xfId="0" applyFont="1" applyAlignment="1">
      <alignment horizontal="center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[$-F800]dddd\,\ mmmm\ dd\,\ yyyy"/>
      <fill>
        <patternFill patternType="solid">
          <fgColor rgb="FFE0F7FA"/>
          <bgColor rgb="FFE0F7FA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&quot;$&quot;#,##0.00"/>
      <fill>
        <patternFill patternType="solid">
          <fgColor rgb="FFE0F7FA"/>
          <bgColor rgb="FFE0F7FA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[$-F800]dddd\,\ mmmm\ dd\,\ yyyy"/>
      <fill>
        <patternFill patternType="solid">
          <fgColor rgb="FFE0F7FA"/>
          <bgColor rgb="FFE0F7FA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F775F0-2D56-4B7E-86B8-32E72887051E}" name="Table1" displayName="Table1" ref="A1:L32" totalsRowShown="0" headerRowDxfId="13" dataDxfId="12">
  <autoFilter ref="A1:L32" xr:uid="{62F775F0-2D56-4B7E-86B8-32E72887051E}"/>
  <tableColumns count="12">
    <tableColumn id="1" xr3:uid="{FC22E3CB-E08B-446B-B811-A659423479F9}" name="Product ID" dataDxfId="11"/>
    <tableColumn id="14" xr3:uid="{156B2DEE-EBA0-42E7-867F-3A958C3BA604}" name="Country code" dataDxfId="10"/>
    <tableColumn id="2" xr3:uid="{331F8099-48C7-4B90-9D23-D1C8C4F71E3C}" name="Product Name" dataDxfId="9"/>
    <tableColumn id="3" xr3:uid="{9FCA9C3C-4B2D-4C66-AC3C-1AA860F408A7}" name="Brand Name" dataDxfId="8"/>
    <tableColumn id="16" xr3:uid="{354ADC25-5F60-4D81-9A21-D8C5FE850B90}" name="Product Brand" dataDxfId="7">
      <calculatedColumnFormula>CONCATENATE(Table1[[#This Row],[Product Name]]," ",Table1[[#This Row],[Brand Name]])</calculatedColumnFormula>
    </tableColumn>
    <tableColumn id="4" xr3:uid="{6CDC1A78-15D0-4710-9981-D2A7ABAABE6A}" name="Price ($)" dataDxfId="6"/>
    <tableColumn id="8" xr3:uid="{1B0195F5-4902-4832-8801-A695595443CF}" name="Price cleaning" dataDxfId="5">
      <calculatedColumnFormula>IF(ISBLANK(F2),AVERAGE(Table1[Price ($)]),F2)</calculatedColumnFormula>
    </tableColumn>
    <tableColumn id="5" xr3:uid="{218B212F-C020-4D3C-9533-04A817F11184}" name="Quantity" dataDxfId="4"/>
    <tableColumn id="6" xr3:uid="{DFD24EBD-CDFD-4CDB-A425-548C4377D6BB}" name="Category" dataDxfId="3"/>
    <tableColumn id="10" xr3:uid="{45F1AC3A-B5D7-4212-A952-B9A5394226E6}" name="Category clean" dataDxfId="2">
      <calculatedColumnFormula>IF(ISBLANK(Table1[[#This Row],[Category]]),"Accessories",Table1[[#This Row],[Category]])</calculatedColumnFormula>
    </tableColumn>
    <tableColumn id="7" xr3:uid="{287D5403-B472-4834-A95E-6B427C09F71B}" name="Manufacturing Date" dataDxfId="1"/>
    <tableColumn id="11" xr3:uid="{770D4484-7D48-4DD1-B0C3-3DBCA2259C83}" name="Country code3" dataDxfId="0"/>
  </tableColumns>
  <tableStyleInfo name="TableStyleDark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opLeftCell="A7" workbookViewId="0">
      <selection activeCell="C25" sqref="C25:L25"/>
    </sheetView>
  </sheetViews>
  <sheetFormatPr defaultColWidth="12.5703125" defaultRowHeight="15" customHeight="1"/>
  <cols>
    <col min="1" max="1" width="12.5703125" customWidth="1"/>
    <col min="2" max="2" width="7.42578125" customWidth="1"/>
    <col min="3" max="6" width="12.5703125" customWidth="1"/>
  </cols>
  <sheetData>
    <row r="1" spans="1:11" ht="15.75" customHeight="1">
      <c r="A1" s="1" t="s">
        <v>0</v>
      </c>
    </row>
    <row r="2" spans="1:11" ht="15.75" customHeight="1"/>
    <row r="3" spans="1:11" ht="15.75" customHeight="1">
      <c r="B3" s="2" t="s">
        <v>1</v>
      </c>
    </row>
    <row r="4" spans="1:11" ht="15.75" customHeight="1">
      <c r="C4" s="3" t="s">
        <v>2</v>
      </c>
    </row>
    <row r="5" spans="1:11" ht="15.75" customHeight="1">
      <c r="B5" s="4"/>
      <c r="C5" s="3" t="s">
        <v>3</v>
      </c>
    </row>
    <row r="6" spans="1:11" ht="15.75" customHeight="1">
      <c r="B6" s="4"/>
    </row>
    <row r="7" spans="1:11" ht="15.75" customHeight="1">
      <c r="B7" s="2" t="s">
        <v>4</v>
      </c>
    </row>
    <row r="8" spans="1:11" ht="15.75" customHeight="1">
      <c r="C8" s="3" t="s">
        <v>5</v>
      </c>
    </row>
    <row r="9" spans="1:11" ht="15.75" customHeight="1">
      <c r="C9" s="3" t="s">
        <v>6</v>
      </c>
    </row>
    <row r="10" spans="1:11" ht="15.75" customHeight="1">
      <c r="C10" s="3" t="s">
        <v>7</v>
      </c>
    </row>
    <row r="11" spans="1:11" ht="15.75" customHeight="1">
      <c r="B11" s="4"/>
    </row>
    <row r="12" spans="1:11" ht="15.75" customHeight="1">
      <c r="B12" s="2" t="s">
        <v>8</v>
      </c>
    </row>
    <row r="13" spans="1:11" ht="15.75" customHeight="1">
      <c r="B13" s="2"/>
      <c r="C13" s="3" t="s">
        <v>9</v>
      </c>
    </row>
    <row r="14" spans="1:11" ht="15.75" customHeight="1"/>
    <row r="15" spans="1:11" ht="15.75" customHeight="1">
      <c r="B15" s="5" t="s">
        <v>10</v>
      </c>
      <c r="C15" s="6"/>
      <c r="D15" s="6"/>
      <c r="E15" s="6"/>
      <c r="F15" s="6"/>
      <c r="G15" s="6"/>
      <c r="H15" s="6"/>
      <c r="I15" s="6"/>
      <c r="J15" s="6"/>
      <c r="K15" s="6"/>
    </row>
    <row r="16" spans="1:11" ht="15.75" customHeight="1">
      <c r="B16" s="6"/>
      <c r="C16" s="7" t="s">
        <v>11</v>
      </c>
      <c r="D16" s="6"/>
      <c r="E16" s="6"/>
      <c r="F16" s="6"/>
      <c r="G16" s="6"/>
      <c r="H16" s="6"/>
      <c r="I16" s="6"/>
      <c r="J16" s="6"/>
      <c r="K16" s="6"/>
    </row>
    <row r="17" spans="2:11" ht="15.75" customHeight="1">
      <c r="B17" s="6"/>
      <c r="C17" s="7" t="s">
        <v>12</v>
      </c>
      <c r="D17" s="6"/>
      <c r="E17" s="6"/>
      <c r="F17" s="6"/>
      <c r="G17" s="6"/>
      <c r="H17" s="6"/>
      <c r="I17" s="6"/>
      <c r="J17" s="6"/>
      <c r="K17" s="6"/>
    </row>
    <row r="18" spans="2:11" ht="15.75" customHeight="1"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2:11" ht="15.75" customHeight="1">
      <c r="B19" s="5" t="s">
        <v>13</v>
      </c>
      <c r="C19" s="6"/>
      <c r="D19" s="6"/>
      <c r="E19" s="6"/>
      <c r="F19" s="6"/>
      <c r="G19" s="6"/>
      <c r="H19" s="6"/>
      <c r="I19" s="6"/>
      <c r="J19" s="6"/>
      <c r="K19" s="6"/>
    </row>
    <row r="20" spans="2:11" ht="15.75" customHeight="1">
      <c r="B20" s="6"/>
      <c r="C20" s="7" t="s">
        <v>14</v>
      </c>
      <c r="D20" s="6"/>
      <c r="E20" s="6"/>
      <c r="F20" s="6"/>
      <c r="G20" s="6"/>
      <c r="H20" s="6"/>
      <c r="I20" s="6"/>
      <c r="J20" s="6"/>
      <c r="K20" s="6"/>
    </row>
    <row r="21" spans="2:11" ht="15.75" customHeight="1">
      <c r="B21" s="6"/>
      <c r="C21" s="7" t="s">
        <v>15</v>
      </c>
      <c r="D21" s="6"/>
      <c r="E21" s="6"/>
      <c r="F21" s="6"/>
      <c r="G21" s="6"/>
      <c r="H21" s="6"/>
      <c r="I21" s="6"/>
      <c r="J21" s="6"/>
      <c r="K21" s="6"/>
    </row>
    <row r="22" spans="2:11" ht="15.75" customHeight="1"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2:11" ht="15.75" customHeight="1">
      <c r="B23" s="5" t="s">
        <v>16</v>
      </c>
      <c r="C23" s="6"/>
      <c r="D23" s="6"/>
      <c r="E23" s="6"/>
      <c r="F23" s="6"/>
      <c r="G23" s="6"/>
      <c r="H23" s="6"/>
      <c r="I23" s="6"/>
      <c r="J23" s="6"/>
      <c r="K23" s="6"/>
    </row>
    <row r="24" spans="2:11" ht="15.75" customHeight="1">
      <c r="B24" s="6"/>
      <c r="C24" s="7" t="s">
        <v>17</v>
      </c>
      <c r="D24" s="6"/>
      <c r="E24" s="6"/>
      <c r="F24" s="6"/>
      <c r="G24" s="6"/>
      <c r="H24" s="6"/>
      <c r="I24" s="6"/>
      <c r="J24" s="6"/>
      <c r="K24" s="6"/>
    </row>
    <row r="25" spans="2:11" ht="15.75" customHeight="1">
      <c r="B25" s="6"/>
      <c r="C25" s="7" t="s">
        <v>18</v>
      </c>
      <c r="D25" s="6"/>
      <c r="E25" s="6"/>
      <c r="F25" s="6"/>
      <c r="G25" s="6"/>
      <c r="H25" s="6"/>
      <c r="I25" s="6"/>
      <c r="J25" s="6"/>
      <c r="K25" s="6"/>
    </row>
    <row r="26" spans="2:11" ht="15.75" customHeight="1">
      <c r="B26" s="6"/>
      <c r="C26" s="7"/>
      <c r="D26" s="6"/>
      <c r="E26" s="6"/>
      <c r="F26" s="6"/>
      <c r="G26" s="6"/>
      <c r="H26" s="6"/>
      <c r="I26" s="6"/>
      <c r="J26" s="6"/>
      <c r="K26" s="6"/>
    </row>
    <row r="27" spans="2:11" ht="15.75" customHeight="1">
      <c r="B27" s="6"/>
      <c r="C27" s="6"/>
      <c r="D27" s="8"/>
      <c r="E27" s="6"/>
      <c r="F27" s="6"/>
      <c r="G27" s="6"/>
      <c r="H27" s="6"/>
      <c r="I27" s="6"/>
      <c r="J27" s="6"/>
      <c r="K27" s="6"/>
    </row>
    <row r="28" spans="2:11" ht="15.75" customHeight="1"/>
    <row r="29" spans="2:11" ht="15.75" customHeight="1"/>
    <row r="30" spans="2:11" ht="15.75" customHeight="1"/>
    <row r="31" spans="2:11" ht="15.75" customHeight="1"/>
    <row r="32" spans="2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1000"/>
  <sheetViews>
    <sheetView tabSelected="1" workbookViewId="0">
      <selection activeCell="E5" sqref="E5"/>
    </sheetView>
  </sheetViews>
  <sheetFormatPr defaultColWidth="12.5703125" defaultRowHeight="15" customHeight="1"/>
  <cols>
    <col min="1" max="1" width="12.5703125" customWidth="1"/>
    <col min="2" max="2" width="15.7109375" customWidth="1"/>
    <col min="3" max="3" width="14.140625" customWidth="1"/>
    <col min="4" max="4" width="12.5703125" customWidth="1"/>
    <col min="5" max="5" width="22.85546875" customWidth="1"/>
    <col min="6" max="6" width="21.85546875" customWidth="1"/>
    <col min="8" max="8" width="17.28515625" customWidth="1"/>
    <col min="9" max="9" width="20.28515625" bestFit="1" customWidth="1"/>
    <col min="10" max="10" width="15.140625" bestFit="1" customWidth="1"/>
    <col min="11" max="11" width="26" bestFit="1" customWidth="1"/>
  </cols>
  <sheetData>
    <row r="1" spans="1:18" ht="15.75" customHeight="1">
      <c r="A1" s="9" t="s">
        <v>19</v>
      </c>
      <c r="B1" s="10" t="s">
        <v>20</v>
      </c>
      <c r="C1" s="9" t="s">
        <v>21</v>
      </c>
      <c r="D1" s="9" t="s">
        <v>22</v>
      </c>
      <c r="E1" s="10" t="s">
        <v>23</v>
      </c>
      <c r="F1" s="9" t="s">
        <v>24</v>
      </c>
      <c r="G1" s="10" t="s">
        <v>25</v>
      </c>
      <c r="H1" s="9" t="s">
        <v>26</v>
      </c>
      <c r="I1" s="9" t="s">
        <v>27</v>
      </c>
      <c r="J1" s="9" t="s">
        <v>28</v>
      </c>
      <c r="K1" s="9" t="s">
        <v>29</v>
      </c>
      <c r="L1" s="9" t="s">
        <v>30</v>
      </c>
    </row>
    <row r="2" spans="1:18" ht="15.75" customHeight="1">
      <c r="A2" s="12" t="s">
        <v>31</v>
      </c>
      <c r="B2" s="14" t="s">
        <v>32</v>
      </c>
      <c r="C2" s="15" t="s">
        <v>33</v>
      </c>
      <c r="D2" s="15" t="s">
        <v>34</v>
      </c>
      <c r="E2" s="16" t="str">
        <f>CONCATENATE(Table1[[#This Row],[Product Name]]," ",Table1[[#This Row],[Brand Name]])</f>
        <v>Laptop Dell</v>
      </c>
      <c r="F2" s="17">
        <v>1000</v>
      </c>
      <c r="G2" s="15">
        <f>IF(ISBLANK(F2),AVERAGE(Table1[Price ($)]),F2)</f>
        <v>1000</v>
      </c>
      <c r="H2" s="15">
        <v>30</v>
      </c>
      <c r="I2" s="15" t="s">
        <v>35</v>
      </c>
      <c r="J2" s="18" t="str">
        <f>IF(ISBLANK(Table1[[#This Row],[Category]]),"Accessories",Table1[[#This Row],[Category]])</f>
        <v>Electronics</v>
      </c>
      <c r="K2" s="26">
        <v>28</v>
      </c>
      <c r="L2" s="23" t="s">
        <v>32</v>
      </c>
    </row>
    <row r="3" spans="1:18" ht="15.75" customHeight="1">
      <c r="A3" s="13" t="s">
        <v>36</v>
      </c>
      <c r="B3" s="14" t="s">
        <v>32</v>
      </c>
      <c r="C3" s="20" t="s">
        <v>37</v>
      </c>
      <c r="D3" s="20" t="s">
        <v>38</v>
      </c>
      <c r="E3" s="20" t="str">
        <f>CONCATENATE(Table1[[#This Row],[Product Name]]," ",Table1[[#This Row],[Brand Name]])</f>
        <v>Sneakers Nike</v>
      </c>
      <c r="F3" s="21">
        <v>80</v>
      </c>
      <c r="G3" s="20">
        <f>IF(ISBLANK(F3),AVERAGE(Table1[Price ($)]),F3)</f>
        <v>80</v>
      </c>
      <c r="H3" s="20">
        <v>15</v>
      </c>
      <c r="I3" s="20" t="s">
        <v>39</v>
      </c>
      <c r="J3" s="19" t="str">
        <f>IF(ISBLANK(Table1[[#This Row],[Category]]),"Accessories",Table1[[#This Row],[Category]])</f>
        <v>Fashion</v>
      </c>
      <c r="K3" s="25">
        <v>15</v>
      </c>
      <c r="L3" s="19" t="s">
        <v>32</v>
      </c>
      <c r="M3" s="6"/>
      <c r="N3" s="6"/>
      <c r="O3" s="6"/>
      <c r="P3" s="6"/>
      <c r="Q3" s="6"/>
      <c r="R3" s="6"/>
    </row>
    <row r="4" spans="1:18" ht="15.75" customHeight="1">
      <c r="A4" s="12" t="s">
        <v>40</v>
      </c>
      <c r="B4" s="22" t="s">
        <v>32</v>
      </c>
      <c r="C4" s="15" t="s">
        <v>41</v>
      </c>
      <c r="D4" s="15" t="s">
        <v>42</v>
      </c>
      <c r="E4" s="15" t="str">
        <f>CONCATENATE(Table1[[#This Row],[Product Name]]," ",Table1[[#This Row],[Brand Name]])</f>
        <v>Coffee Maker Keurig</v>
      </c>
      <c r="F4" s="17">
        <v>130</v>
      </c>
      <c r="G4" s="15">
        <f>IF(ISBLANK(F4),AVERAGE(Table1[Price ($)]),F4)</f>
        <v>130</v>
      </c>
      <c r="H4" s="15">
        <v>40</v>
      </c>
      <c r="I4" s="15" t="s">
        <v>43</v>
      </c>
      <c r="J4" s="19" t="str">
        <f>IF(ISBLANK(Table1[[#This Row],[Category]]),"Accessories",Table1[[#This Row],[Category]])</f>
        <v>Kitchen</v>
      </c>
      <c r="K4" s="26">
        <v>3</v>
      </c>
      <c r="L4" s="19" t="s">
        <v>32</v>
      </c>
      <c r="M4" s="6"/>
      <c r="N4" s="6"/>
      <c r="O4" s="6"/>
      <c r="Q4" s="6"/>
    </row>
    <row r="5" spans="1:18" ht="15.75" customHeight="1">
      <c r="A5" s="13" t="s">
        <v>44</v>
      </c>
      <c r="B5" s="22" t="s">
        <v>32</v>
      </c>
      <c r="C5" s="20" t="s">
        <v>45</v>
      </c>
      <c r="D5" s="20" t="s">
        <v>46</v>
      </c>
      <c r="E5" s="20" t="str">
        <f>CONCATENATE(Table1[[#This Row],[Product Name]]," ",Table1[[#This Row],[Brand Name]])</f>
        <v>Smartphone Samsung</v>
      </c>
      <c r="F5" s="21">
        <v>900</v>
      </c>
      <c r="G5" s="20">
        <f>IF(ISBLANK(F5),AVERAGE(Table1[Price ($)]),F5)</f>
        <v>900</v>
      </c>
      <c r="H5" s="20">
        <v>25</v>
      </c>
      <c r="I5" s="20" t="s">
        <v>35</v>
      </c>
      <c r="J5" s="19" t="str">
        <f>IF(ISBLANK(Table1[[#This Row],[Category]]),"Accessories",Table1[[#This Row],[Category]])</f>
        <v>Electronics</v>
      </c>
      <c r="K5" s="25">
        <v>11</v>
      </c>
      <c r="L5" s="19" t="s">
        <v>32</v>
      </c>
      <c r="M5" s="6"/>
      <c r="N5" s="6"/>
      <c r="O5" s="6"/>
      <c r="Q5" s="6"/>
    </row>
    <row r="6" spans="1:18" ht="15.75" customHeight="1">
      <c r="A6" s="12" t="s">
        <v>47</v>
      </c>
      <c r="B6" s="22" t="s">
        <v>32</v>
      </c>
      <c r="C6" s="15" t="s">
        <v>48</v>
      </c>
      <c r="D6" s="15" t="s">
        <v>49</v>
      </c>
      <c r="E6" s="15" t="str">
        <f>CONCATENATE(Table1[[#This Row],[Product Name]]," ",Table1[[#This Row],[Brand Name]])</f>
        <v>Backpack North Face</v>
      </c>
      <c r="F6" s="17">
        <v>70</v>
      </c>
      <c r="G6" s="15">
        <f>IF(ISBLANK(F6),AVERAGE(Table1[Price ($)]),F6)</f>
        <v>70</v>
      </c>
      <c r="H6" s="15">
        <v>20</v>
      </c>
      <c r="I6" s="15"/>
      <c r="J6" s="19" t="str">
        <f>IF(ISBLANK(Table1[[#This Row],[Category]]),"Accessories",Table1[[#This Row],[Category]])</f>
        <v>Accessories</v>
      </c>
      <c r="K6" s="26">
        <v>22</v>
      </c>
      <c r="L6" s="19" t="s">
        <v>32</v>
      </c>
    </row>
    <row r="7" spans="1:18" ht="15.75" customHeight="1">
      <c r="A7" s="13" t="s">
        <v>50</v>
      </c>
      <c r="B7" s="22" t="s">
        <v>51</v>
      </c>
      <c r="C7" s="20" t="s">
        <v>52</v>
      </c>
      <c r="D7" s="20" t="s">
        <v>53</v>
      </c>
      <c r="E7" s="20" t="str">
        <f>CONCATENATE(Table1[[#This Row],[Product Name]]," ",Table1[[#This Row],[Brand Name]])</f>
        <v>Headphones Sony</v>
      </c>
      <c r="F7" s="21"/>
      <c r="G7" s="20">
        <f>IF(ISBLANK(F7),AVERAGE(Table1[Price ($)]),F7)</f>
        <v>297.85714285714283</v>
      </c>
      <c r="H7" s="20">
        <v>45</v>
      </c>
      <c r="I7" s="20" t="s">
        <v>35</v>
      </c>
      <c r="J7" s="19" t="str">
        <f>IF(ISBLANK(Table1[[#This Row],[Category]]),"Accessories",Table1[[#This Row],[Category]])</f>
        <v>Electronics</v>
      </c>
      <c r="K7" s="25">
        <v>7</v>
      </c>
      <c r="L7" s="19" t="s">
        <v>51</v>
      </c>
    </row>
    <row r="8" spans="1:18" ht="15.75" customHeight="1">
      <c r="A8" s="12" t="s">
        <v>54</v>
      </c>
      <c r="B8" s="22" t="s">
        <v>51</v>
      </c>
      <c r="C8" s="15" t="s">
        <v>55</v>
      </c>
      <c r="D8" s="15" t="s">
        <v>56</v>
      </c>
      <c r="E8" s="15" t="str">
        <f>CONCATENATE(Table1[[#This Row],[Product Name]]," ",Table1[[#This Row],[Brand Name]])</f>
        <v>T-shirt Adidas</v>
      </c>
      <c r="F8" s="17">
        <v>30</v>
      </c>
      <c r="G8" s="15">
        <f>IF(ISBLANK(F8),AVERAGE(Table1[Price ($)]),F8)</f>
        <v>30</v>
      </c>
      <c r="H8" s="15">
        <v>5</v>
      </c>
      <c r="I8" s="15" t="s">
        <v>39</v>
      </c>
      <c r="J8" s="19" t="str">
        <f>IF(ISBLANK(Table1[[#This Row],[Category]]),"Accessories",Table1[[#This Row],[Category]])</f>
        <v>Fashion</v>
      </c>
      <c r="K8" s="26">
        <v>19</v>
      </c>
      <c r="L8" s="19" t="s">
        <v>51</v>
      </c>
    </row>
    <row r="9" spans="1:18" ht="15.75" customHeight="1">
      <c r="A9" s="13" t="s">
        <v>57</v>
      </c>
      <c r="B9" s="22" t="s">
        <v>51</v>
      </c>
      <c r="C9" s="20" t="s">
        <v>58</v>
      </c>
      <c r="D9" s="20" t="s">
        <v>59</v>
      </c>
      <c r="E9" s="20" t="str">
        <f>CONCATENATE(Table1[[#This Row],[Product Name]]," ",Table1[[#This Row],[Brand Name]])</f>
        <v>Blender Ninja</v>
      </c>
      <c r="F9" s="21">
        <v>90</v>
      </c>
      <c r="G9" s="20">
        <f>IF(ISBLANK(F9),AVERAGE(Table1[Price ($)]),F9)</f>
        <v>90</v>
      </c>
      <c r="H9" s="20">
        <v>35</v>
      </c>
      <c r="I9" s="20" t="s">
        <v>43</v>
      </c>
      <c r="J9" s="19" t="str">
        <f>IF(ISBLANK(Table1[[#This Row],[Category]]),"Accessories",Table1[[#This Row],[Category]])</f>
        <v>Kitchen</v>
      </c>
      <c r="K9" s="25">
        <v>23</v>
      </c>
      <c r="L9" s="19" t="s">
        <v>51</v>
      </c>
    </row>
    <row r="10" spans="1:18" ht="15.75" customHeight="1">
      <c r="A10" s="12" t="s">
        <v>60</v>
      </c>
      <c r="B10" s="22" t="s">
        <v>51</v>
      </c>
      <c r="C10" s="15" t="s">
        <v>61</v>
      </c>
      <c r="D10" s="15" t="s">
        <v>62</v>
      </c>
      <c r="E10" s="15" t="str">
        <f>CONCATENATE(Table1[[#This Row],[Product Name]]," ",Table1[[#This Row],[Brand Name]])</f>
        <v>Tablet Apple</v>
      </c>
      <c r="F10" s="17">
        <v>500</v>
      </c>
      <c r="G10" s="15">
        <f>IF(ISBLANK(F10),AVERAGE(Table1[Price ($)]),F10)</f>
        <v>500</v>
      </c>
      <c r="H10" s="15">
        <v>50</v>
      </c>
      <c r="I10" s="15" t="s">
        <v>35</v>
      </c>
      <c r="J10" s="19" t="str">
        <f>IF(ISBLANK(Table1[[#This Row],[Category]]),"Accessories",Table1[[#This Row],[Category]])</f>
        <v>Electronics</v>
      </c>
      <c r="K10" s="26">
        <v>5</v>
      </c>
      <c r="L10" s="19" t="s">
        <v>51</v>
      </c>
    </row>
    <row r="11" spans="1:18" ht="15.75" customHeight="1">
      <c r="A11" s="13" t="s">
        <v>63</v>
      </c>
      <c r="B11" s="22" t="s">
        <v>51</v>
      </c>
      <c r="C11" s="20" t="s">
        <v>64</v>
      </c>
      <c r="D11" s="20" t="s">
        <v>65</v>
      </c>
      <c r="E11" s="20" t="str">
        <f>CONCATENATE(Table1[[#This Row],[Product Name]]," ",Table1[[#This Row],[Brand Name]])</f>
        <v>Hiking Boots Timberland</v>
      </c>
      <c r="F11" s="21">
        <v>130</v>
      </c>
      <c r="G11" s="20">
        <f>IF(ISBLANK(F11),AVERAGE(Table1[Price ($)]),F11)</f>
        <v>130</v>
      </c>
      <c r="H11" s="20">
        <v>10</v>
      </c>
      <c r="I11" s="20" t="s">
        <v>66</v>
      </c>
      <c r="J11" s="19" t="str">
        <f>IF(ISBLANK(Table1[[#This Row],[Category]]),"Accessories",Table1[[#This Row],[Category]])</f>
        <v>Outdoor</v>
      </c>
      <c r="K11" s="25">
        <v>14</v>
      </c>
      <c r="L11" s="19" t="s">
        <v>51</v>
      </c>
    </row>
    <row r="12" spans="1:18" ht="15.75" customHeight="1">
      <c r="A12" s="12" t="s">
        <v>67</v>
      </c>
      <c r="B12" s="22" t="s">
        <v>68</v>
      </c>
      <c r="C12" s="15" t="s">
        <v>33</v>
      </c>
      <c r="D12" s="15" t="s">
        <v>69</v>
      </c>
      <c r="E12" s="15" t="str">
        <f>CONCATENATE(Table1[[#This Row],[Product Name]]," ",Table1[[#This Row],[Brand Name]])</f>
        <v>Laptop HP</v>
      </c>
      <c r="F12" s="17">
        <v>950</v>
      </c>
      <c r="G12" s="15">
        <f>IF(ISBLANK(F12),AVERAGE(Table1[Price ($)]),F12)</f>
        <v>950</v>
      </c>
      <c r="H12" s="15">
        <v>25</v>
      </c>
      <c r="I12" s="15" t="s">
        <v>35</v>
      </c>
      <c r="J12" s="19" t="str">
        <f>IF(ISBLANK(Table1[[#This Row],[Category]]),"Accessories",Table1[[#This Row],[Category]])</f>
        <v>Electronics</v>
      </c>
      <c r="K12" s="26">
        <v>17</v>
      </c>
      <c r="L12" s="19" t="s">
        <v>68</v>
      </c>
    </row>
    <row r="13" spans="1:18" ht="15.75" customHeight="1">
      <c r="A13" s="13" t="s">
        <v>70</v>
      </c>
      <c r="B13" s="22" t="s">
        <v>71</v>
      </c>
      <c r="C13" s="20" t="s">
        <v>37</v>
      </c>
      <c r="D13" s="20" t="s">
        <v>56</v>
      </c>
      <c r="E13" s="20" t="str">
        <f>CONCATENATE(Table1[[#This Row],[Product Name]]," ",Table1[[#This Row],[Brand Name]])</f>
        <v>Sneakers Adidas</v>
      </c>
      <c r="F13" s="21">
        <v>90</v>
      </c>
      <c r="G13" s="20">
        <f>IF(ISBLANK(F13),AVERAGE(Table1[Price ($)]),F13)</f>
        <v>90</v>
      </c>
      <c r="H13" s="20">
        <v>40</v>
      </c>
      <c r="I13" s="20"/>
      <c r="J13" s="19" t="s">
        <v>39</v>
      </c>
      <c r="K13" s="25">
        <v>25</v>
      </c>
      <c r="L13" s="19" t="s">
        <v>71</v>
      </c>
    </row>
    <row r="14" spans="1:18" ht="15.75" customHeight="1">
      <c r="A14" s="12" t="s">
        <v>72</v>
      </c>
      <c r="B14" s="22" t="s">
        <v>73</v>
      </c>
      <c r="C14" s="15" t="s">
        <v>41</v>
      </c>
      <c r="D14" s="15" t="s">
        <v>74</v>
      </c>
      <c r="E14" s="15" t="str">
        <f>CONCATENATE(Table1[[#This Row],[Product Name]]," ",Table1[[#This Row],[Brand Name]])</f>
        <v>Coffee Maker Nespresso</v>
      </c>
      <c r="F14" s="17">
        <v>120</v>
      </c>
      <c r="G14" s="15">
        <f>IF(ISBLANK(F14),AVERAGE(Table1[Price ($)]),F14)</f>
        <v>120</v>
      </c>
      <c r="H14" s="15">
        <v>35</v>
      </c>
      <c r="I14" s="15"/>
      <c r="J14" s="19" t="s">
        <v>43</v>
      </c>
      <c r="K14" s="26">
        <v>8</v>
      </c>
      <c r="L14" s="19" t="s">
        <v>73</v>
      </c>
    </row>
    <row r="15" spans="1:18" ht="15.75" customHeight="1">
      <c r="A15" s="13" t="s">
        <v>75</v>
      </c>
      <c r="B15" s="22" t="s">
        <v>76</v>
      </c>
      <c r="C15" s="20" t="s">
        <v>77</v>
      </c>
      <c r="D15" s="20" t="s">
        <v>78</v>
      </c>
      <c r="E15" s="20" t="str">
        <f>CONCATENATE(Table1[[#This Row],[Product Name]]," ",Table1[[#This Row],[Brand Name]])</f>
        <v>Smartwatch Fitbit</v>
      </c>
      <c r="F15" s="21">
        <v>150</v>
      </c>
      <c r="G15" s="20">
        <f>IF(ISBLANK(F15),AVERAGE(Table1[Price ($)]),F15)</f>
        <v>150</v>
      </c>
      <c r="H15" s="20">
        <v>15</v>
      </c>
      <c r="I15" s="20" t="s">
        <v>35</v>
      </c>
      <c r="J15" s="19" t="str">
        <f>IF(ISBLANK(Table1[[#This Row],[Category]]),"Accessories",Table1[[#This Row],[Category]])</f>
        <v>Electronics</v>
      </c>
      <c r="K15" s="25">
        <v>18</v>
      </c>
      <c r="L15" s="19" t="s">
        <v>76</v>
      </c>
    </row>
    <row r="16" spans="1:18" ht="15.75" customHeight="1">
      <c r="A16" s="12" t="s">
        <v>79</v>
      </c>
      <c r="B16" s="22" t="s">
        <v>80</v>
      </c>
      <c r="C16" s="15" t="s">
        <v>52</v>
      </c>
      <c r="D16" s="15" t="s">
        <v>81</v>
      </c>
      <c r="E16" s="15" t="str">
        <f>CONCATENATE(Table1[[#This Row],[Product Name]]," ",Table1[[#This Row],[Brand Name]])</f>
        <v>Headphones Bose</v>
      </c>
      <c r="F16" s="17">
        <v>250</v>
      </c>
      <c r="G16" s="15">
        <f>IF(ISBLANK(F16),AVERAGE(Table1[Price ($)]),F16)</f>
        <v>250</v>
      </c>
      <c r="H16" s="15">
        <v>20</v>
      </c>
      <c r="I16" s="15" t="s">
        <v>35</v>
      </c>
      <c r="J16" s="19" t="str">
        <f>IF(ISBLANK(Table1[[#This Row],[Category]]),"Accessories",Table1[[#This Row],[Category]])</f>
        <v>Electronics</v>
      </c>
      <c r="K16" s="26">
        <v>16</v>
      </c>
      <c r="L16" s="19" t="s">
        <v>80</v>
      </c>
    </row>
    <row r="17" spans="1:12" ht="15.75" customHeight="1">
      <c r="A17" s="13" t="s">
        <v>82</v>
      </c>
      <c r="B17" s="22" t="s">
        <v>76</v>
      </c>
      <c r="C17" s="20" t="s">
        <v>83</v>
      </c>
      <c r="D17" s="20" t="s">
        <v>84</v>
      </c>
      <c r="E17" s="20" t="str">
        <f>CONCATENATE(Table1[[#This Row],[Product Name]]," ",Table1[[#This Row],[Brand Name]])</f>
        <v>Laptop Bag Samsonite</v>
      </c>
      <c r="F17" s="21">
        <v>50</v>
      </c>
      <c r="G17" s="20">
        <f>IF(ISBLANK(F17),AVERAGE(Table1[Price ($)]),F17)</f>
        <v>50</v>
      </c>
      <c r="H17" s="20">
        <v>35</v>
      </c>
      <c r="I17" s="20" t="s">
        <v>85</v>
      </c>
      <c r="J17" s="19" t="str">
        <f>IF(ISBLANK(Table1[[#This Row],[Category]]),"Accessories",Table1[[#This Row],[Category]])</f>
        <v>Accessories</v>
      </c>
      <c r="K17" s="25">
        <v>21</v>
      </c>
      <c r="L17" s="19" t="s">
        <v>76</v>
      </c>
    </row>
    <row r="18" spans="1:12" ht="15.75" customHeight="1">
      <c r="A18" s="12" t="s">
        <v>86</v>
      </c>
      <c r="B18" s="22" t="s">
        <v>87</v>
      </c>
      <c r="C18" s="15" t="s">
        <v>77</v>
      </c>
      <c r="D18" s="15" t="s">
        <v>88</v>
      </c>
      <c r="E18" s="15" t="str">
        <f>CONCATENATE(Table1[[#This Row],[Product Name]]," ",Table1[[#This Row],[Brand Name]])</f>
        <v>Smartwatch Huawei</v>
      </c>
      <c r="F18" s="17">
        <v>160</v>
      </c>
      <c r="G18" s="15">
        <f>IF(ISBLANK(F18),AVERAGE(Table1[Price ($)]),F18)</f>
        <v>160</v>
      </c>
      <c r="H18" s="15">
        <v>15</v>
      </c>
      <c r="I18" s="15" t="s">
        <v>35</v>
      </c>
      <c r="J18" s="19" t="str">
        <f>IF(ISBLANK(Table1[[#This Row],[Category]]),"Accessories",Table1[[#This Row],[Category]])</f>
        <v>Electronics</v>
      </c>
      <c r="K18" s="26">
        <v>20</v>
      </c>
      <c r="L18" s="19" t="s">
        <v>87</v>
      </c>
    </row>
    <row r="19" spans="1:12" ht="15.75" customHeight="1">
      <c r="A19" s="13" t="s">
        <v>89</v>
      </c>
      <c r="B19" s="22" t="s">
        <v>90</v>
      </c>
      <c r="C19" s="20" t="s">
        <v>33</v>
      </c>
      <c r="D19" s="20" t="s">
        <v>91</v>
      </c>
      <c r="E19" s="20" t="str">
        <f>CONCATENATE(Table1[[#This Row],[Product Name]]," ",Table1[[#This Row],[Brand Name]])</f>
        <v>Laptop Asus</v>
      </c>
      <c r="F19" s="21">
        <v>980</v>
      </c>
      <c r="G19" s="20">
        <f>IF(ISBLANK(F19),AVERAGE(Table1[Price ($)]),F19)</f>
        <v>980</v>
      </c>
      <c r="H19" s="20">
        <v>10</v>
      </c>
      <c r="I19" s="20" t="s">
        <v>35</v>
      </c>
      <c r="J19" s="19" t="str">
        <f>IF(ISBLANK(Table1[[#This Row],[Category]]),"Accessories",Table1[[#This Row],[Category]])</f>
        <v>Electronics</v>
      </c>
      <c r="K19" s="25">
        <v>27</v>
      </c>
      <c r="L19" s="19" t="s">
        <v>90</v>
      </c>
    </row>
    <row r="20" spans="1:12" ht="15.75" customHeight="1">
      <c r="A20" s="12" t="s">
        <v>92</v>
      </c>
      <c r="B20" s="22" t="s">
        <v>51</v>
      </c>
      <c r="C20" s="15" t="s">
        <v>93</v>
      </c>
      <c r="D20" s="15" t="s">
        <v>94</v>
      </c>
      <c r="E20" s="15" t="str">
        <f>CONCATENATE(Table1[[#This Row],[Product Name]]," ",Table1[[#This Row],[Brand Name]])</f>
        <v>Sunglasses Oakley</v>
      </c>
      <c r="F20" s="17">
        <v>150</v>
      </c>
      <c r="G20" s="15">
        <f>IF(ISBLANK(F20),AVERAGE(Table1[Price ($)]),F20)</f>
        <v>150</v>
      </c>
      <c r="H20" s="15">
        <v>15</v>
      </c>
      <c r="I20" s="15" t="s">
        <v>39</v>
      </c>
      <c r="J20" s="19" t="str">
        <f>IF(ISBLANK(Table1[[#This Row],[Category]]),"Accessories",Table1[[#This Row],[Category]])</f>
        <v>Fashion</v>
      </c>
      <c r="K20" s="26">
        <v>1</v>
      </c>
      <c r="L20" s="19" t="s">
        <v>51</v>
      </c>
    </row>
    <row r="21" spans="1:12" ht="15.75" customHeight="1">
      <c r="A21" s="13" t="s">
        <v>95</v>
      </c>
      <c r="B21" s="22" t="s">
        <v>32</v>
      </c>
      <c r="C21" s="20" t="s">
        <v>96</v>
      </c>
      <c r="D21" s="20" t="s">
        <v>97</v>
      </c>
      <c r="E21" s="20" t="str">
        <f>CONCATENATE(Table1[[#This Row],[Product Name]]," ",Table1[[#This Row],[Brand Name]])</f>
        <v>Camping Tent Coleman</v>
      </c>
      <c r="F21" s="21"/>
      <c r="G21" s="20">
        <f>IF(ISBLANK(F21),AVERAGE(Table1[Price ($)]),F21)</f>
        <v>297.85714285714283</v>
      </c>
      <c r="H21" s="20">
        <v>10</v>
      </c>
      <c r="I21" s="20" t="s">
        <v>66</v>
      </c>
      <c r="J21" s="19" t="str">
        <f>IF(ISBLANK(Table1[[#This Row],[Category]]),"Accessories",Table1[[#This Row],[Category]])</f>
        <v>Outdoor</v>
      </c>
      <c r="K21" s="25">
        <v>14</v>
      </c>
      <c r="L21" s="19" t="s">
        <v>32</v>
      </c>
    </row>
    <row r="22" spans="1:12" ht="15.75" customHeight="1">
      <c r="A22" s="12" t="s">
        <v>98</v>
      </c>
      <c r="B22" s="22" t="s">
        <v>99</v>
      </c>
      <c r="C22" s="15" t="s">
        <v>100</v>
      </c>
      <c r="D22" s="15" t="s">
        <v>101</v>
      </c>
      <c r="E22" s="15" t="str">
        <f>CONCATENATE(Table1[[#This Row],[Product Name]]," ",Table1[[#This Row],[Brand Name]])</f>
        <v>Camera Nikon</v>
      </c>
      <c r="F22" s="17">
        <v>700</v>
      </c>
      <c r="G22" s="15">
        <f>IF(ISBLANK(F22),AVERAGE(Table1[Price ($)]),F22)</f>
        <v>700</v>
      </c>
      <c r="H22" s="15">
        <v>50</v>
      </c>
      <c r="I22" s="15" t="s">
        <v>35</v>
      </c>
      <c r="J22" s="19" t="str">
        <f>IF(ISBLANK(Table1[[#This Row],[Category]]),"Accessories",Table1[[#This Row],[Category]])</f>
        <v>Electronics</v>
      </c>
      <c r="K22" s="26">
        <v>14</v>
      </c>
      <c r="L22" s="19" t="s">
        <v>99</v>
      </c>
    </row>
    <row r="23" spans="1:12" ht="15.75" customHeight="1">
      <c r="A23" s="13" t="s">
        <v>102</v>
      </c>
      <c r="B23" s="22" t="s">
        <v>76</v>
      </c>
      <c r="C23" s="20" t="s">
        <v>103</v>
      </c>
      <c r="D23" s="20" t="s">
        <v>104</v>
      </c>
      <c r="E23" s="20" t="str">
        <f>CONCATENATE(Table1[[#This Row],[Product Name]]," ",Table1[[#This Row],[Brand Name]])</f>
        <v>Microwave Panasonic</v>
      </c>
      <c r="F23" s="21">
        <v>80</v>
      </c>
      <c r="G23" s="20">
        <f>IF(ISBLANK(F23),AVERAGE(Table1[Price ($)]),F23)</f>
        <v>80</v>
      </c>
      <c r="H23" s="20">
        <v>20</v>
      </c>
      <c r="I23" s="20" t="s">
        <v>43</v>
      </c>
      <c r="J23" s="19" t="str">
        <f>IF(ISBLANK(Table1[[#This Row],[Category]]),"Accessories",Table1[[#This Row],[Category]])</f>
        <v>Kitchen</v>
      </c>
      <c r="K23" s="25">
        <v>9</v>
      </c>
      <c r="L23" s="19" t="s">
        <v>76</v>
      </c>
    </row>
    <row r="24" spans="1:12" ht="15.75" customHeight="1">
      <c r="A24" s="12" t="s">
        <v>105</v>
      </c>
      <c r="B24" s="22" t="s">
        <v>106</v>
      </c>
      <c r="C24" s="15" t="s">
        <v>107</v>
      </c>
      <c r="D24" s="15" t="s">
        <v>108</v>
      </c>
      <c r="E24" s="15" t="str">
        <f>CONCATENATE(Table1[[#This Row],[Product Name]]," ",Table1[[#This Row],[Brand Name]])</f>
        <v>Fitness Tracker Xiaomi</v>
      </c>
      <c r="F24" s="17">
        <v>150</v>
      </c>
      <c r="G24" s="15">
        <f>IF(ISBLANK(F24),AVERAGE(Table1[Price ($)]),F24)</f>
        <v>150</v>
      </c>
      <c r="H24" s="15">
        <v>30</v>
      </c>
      <c r="I24" s="15"/>
      <c r="J24" s="19" t="s">
        <v>109</v>
      </c>
      <c r="K24" s="26">
        <v>19</v>
      </c>
      <c r="L24" s="19" t="s">
        <v>106</v>
      </c>
    </row>
    <row r="25" spans="1:12" ht="15.75" customHeight="1">
      <c r="A25" s="12" t="s">
        <v>110</v>
      </c>
      <c r="B25" s="22" t="s">
        <v>76</v>
      </c>
      <c r="C25" s="15" t="s">
        <v>45</v>
      </c>
      <c r="D25" s="15" t="s">
        <v>111</v>
      </c>
      <c r="E25" s="15" t="str">
        <f>CONCATENATE(Table1[[#This Row],[Product Name]]," ",Table1[[#This Row],[Brand Name]])</f>
        <v>Smartphone Google</v>
      </c>
      <c r="F25" s="17">
        <v>800</v>
      </c>
      <c r="G25" s="15">
        <f>IF(ISBLANK(F25),AVERAGE(Table1[Price ($)]),F25)</f>
        <v>800</v>
      </c>
      <c r="H25" s="15">
        <v>45</v>
      </c>
      <c r="I25" s="15" t="s">
        <v>35</v>
      </c>
      <c r="J25" s="19" t="str">
        <f>IF(ISBLANK(Table1[[#This Row],[Category]]),"Accessories",Table1[[#This Row],[Category]])</f>
        <v>Electronics</v>
      </c>
      <c r="K25" s="26">
        <v>29</v>
      </c>
      <c r="L25" s="19" t="s">
        <v>76</v>
      </c>
    </row>
    <row r="26" spans="1:12" ht="15.75" customHeight="1">
      <c r="A26" s="13" t="s">
        <v>112</v>
      </c>
      <c r="B26" s="22" t="s">
        <v>76</v>
      </c>
      <c r="C26" s="20" t="s">
        <v>93</v>
      </c>
      <c r="D26" s="20" t="s">
        <v>113</v>
      </c>
      <c r="E26" s="20" t="str">
        <f>CONCATENATE(Table1[[#This Row],[Product Name]]," ",Table1[[#This Row],[Brand Name]])</f>
        <v>Sunglasses Ray-Ban</v>
      </c>
      <c r="F26" s="21"/>
      <c r="G26" s="20">
        <f>IF(ISBLANK(F26),AVERAGE(Table1[Price ($)]),F26)</f>
        <v>297.85714285714283</v>
      </c>
      <c r="H26" s="20">
        <v>25</v>
      </c>
      <c r="I26" s="20" t="s">
        <v>39</v>
      </c>
      <c r="J26" s="19" t="str">
        <f>IF(ISBLANK(Table1[[#This Row],[Category]]),"Accessories",Table1[[#This Row],[Category]])</f>
        <v>Fashion</v>
      </c>
      <c r="K26" s="25">
        <v>3</v>
      </c>
      <c r="L26" s="19" t="s">
        <v>76</v>
      </c>
    </row>
    <row r="27" spans="1:12" ht="15.75" customHeight="1">
      <c r="A27" s="12" t="s">
        <v>114</v>
      </c>
      <c r="B27" s="22" t="s">
        <v>76</v>
      </c>
      <c r="C27" s="15" t="s">
        <v>58</v>
      </c>
      <c r="D27" s="15" t="s">
        <v>115</v>
      </c>
      <c r="E27" s="15" t="str">
        <f>CONCATENATE(Table1[[#This Row],[Product Name]]," ",Table1[[#This Row],[Brand Name]])</f>
        <v>Blender Vitamix</v>
      </c>
      <c r="F27" s="17">
        <v>400</v>
      </c>
      <c r="G27" s="15">
        <f>IF(ISBLANK(F27),AVERAGE(Table1[Price ($)]),F27)</f>
        <v>400</v>
      </c>
      <c r="H27" s="15">
        <v>40</v>
      </c>
      <c r="I27" s="15" t="s">
        <v>43</v>
      </c>
      <c r="J27" s="19" t="str">
        <f>IF(ISBLANK(Table1[[#This Row],[Category]]),"Accessories",Table1[[#This Row],[Category]])</f>
        <v>Kitchen</v>
      </c>
      <c r="K27" s="26">
        <v>11</v>
      </c>
      <c r="L27" s="19" t="s">
        <v>76</v>
      </c>
    </row>
    <row r="28" spans="1:12" ht="15.75" customHeight="1">
      <c r="A28" s="12" t="s">
        <v>116</v>
      </c>
      <c r="B28" s="22" t="s">
        <v>76</v>
      </c>
      <c r="C28" s="15" t="s">
        <v>117</v>
      </c>
      <c r="D28" s="15" t="s">
        <v>118</v>
      </c>
      <c r="E28" s="15" t="str">
        <f>CONCATENATE(Table1[[#This Row],[Product Name]]," ",Table1[[#This Row],[Brand Name]])</f>
        <v>Dress Zara</v>
      </c>
      <c r="F28" s="17">
        <v>60</v>
      </c>
      <c r="G28" s="15">
        <f>IF(ISBLANK(F28),AVERAGE(Table1[Price ($)]),F28)</f>
        <v>60</v>
      </c>
      <c r="H28" s="15">
        <v>30</v>
      </c>
      <c r="I28" s="15" t="s">
        <v>39</v>
      </c>
      <c r="J28" s="19" t="str">
        <f>IF(ISBLANK(Table1[[#This Row],[Category]]),"Accessories",Table1[[#This Row],[Category]])</f>
        <v>Fashion</v>
      </c>
      <c r="K28" s="26">
        <v>7</v>
      </c>
      <c r="L28" s="19" t="s">
        <v>76</v>
      </c>
    </row>
    <row r="29" spans="1:12" ht="15.75" customHeight="1">
      <c r="A29" s="13" t="s">
        <v>119</v>
      </c>
      <c r="B29" s="22" t="s">
        <v>76</v>
      </c>
      <c r="C29" s="20" t="s">
        <v>120</v>
      </c>
      <c r="D29" s="20" t="s">
        <v>121</v>
      </c>
      <c r="E29" s="20" t="str">
        <f>CONCATENATE(Table1[[#This Row],[Product Name]]," ",Table1[[#This Row],[Brand Name]])</f>
        <v>Toaster Hamilton</v>
      </c>
      <c r="F29" s="21">
        <v>40</v>
      </c>
      <c r="G29" s="20">
        <f>IF(ISBLANK(F29),AVERAGE(Table1[Price ($)]),F29)</f>
        <v>40</v>
      </c>
      <c r="H29" s="20">
        <v>10</v>
      </c>
      <c r="I29" s="20" t="s">
        <v>43</v>
      </c>
      <c r="J29" s="19" t="str">
        <f>IF(ISBLANK(Table1[[#This Row],[Category]]),"Accessories",Table1[[#This Row],[Category]])</f>
        <v>Kitchen</v>
      </c>
      <c r="K29" s="25">
        <v>13</v>
      </c>
      <c r="L29" s="19" t="s">
        <v>76</v>
      </c>
    </row>
    <row r="30" spans="1:12" ht="15.75" customHeight="1">
      <c r="A30" s="12" t="s">
        <v>122</v>
      </c>
      <c r="B30" s="22" t="s">
        <v>76</v>
      </c>
      <c r="C30" s="15" t="s">
        <v>107</v>
      </c>
      <c r="D30" s="15" t="s">
        <v>123</v>
      </c>
      <c r="E30" s="15" t="str">
        <f>CONCATENATE(Table1[[#This Row],[Product Name]]," ",Table1[[#This Row],[Brand Name]])</f>
        <v>Fitness Tracker Garmin</v>
      </c>
      <c r="F30" s="17">
        <v>130</v>
      </c>
      <c r="G30" s="15">
        <f>IF(ISBLANK(F30),AVERAGE(Table1[Price ($)]),F30)</f>
        <v>130</v>
      </c>
      <c r="H30" s="15">
        <v>5</v>
      </c>
      <c r="I30" s="15" t="s">
        <v>35</v>
      </c>
      <c r="J30" s="19" t="str">
        <f>IF(ISBLANK(Table1[[#This Row],[Category]]),"Accessories",Table1[[#This Row],[Category]])</f>
        <v>Electronics</v>
      </c>
      <c r="K30" s="26">
        <v>24</v>
      </c>
      <c r="L30" s="19" t="s">
        <v>76</v>
      </c>
    </row>
    <row r="31" spans="1:12" ht="15.75" customHeight="1">
      <c r="A31" s="13" t="s">
        <v>124</v>
      </c>
      <c r="B31" s="22" t="s">
        <v>76</v>
      </c>
      <c r="C31" s="20" t="s">
        <v>125</v>
      </c>
      <c r="D31" s="20" t="s">
        <v>126</v>
      </c>
      <c r="E31" s="20" t="str">
        <f>CONCATENATE(Table1[[#This Row],[Product Name]]," ",Table1[[#This Row],[Brand Name]])</f>
        <v>Jeans Levi's</v>
      </c>
      <c r="F31" s="21">
        <v>50</v>
      </c>
      <c r="G31" s="20">
        <f>IF(ISBLANK(F31),AVERAGE(Table1[Price ($)]),F31)</f>
        <v>50</v>
      </c>
      <c r="H31" s="20">
        <v>50</v>
      </c>
      <c r="I31" s="20" t="s">
        <v>39</v>
      </c>
      <c r="J31" s="19" t="str">
        <f>IF(ISBLANK(Table1[[#This Row],[Category]]),"Accessories",Table1[[#This Row],[Category]])</f>
        <v>Fashion</v>
      </c>
      <c r="K31" s="25">
        <v>2</v>
      </c>
      <c r="L31" s="19" t="s">
        <v>76</v>
      </c>
    </row>
    <row r="32" spans="1:12" ht="15.75" customHeight="1">
      <c r="A32" s="13" t="s">
        <v>127</v>
      </c>
      <c r="B32" s="22" t="s">
        <v>128</v>
      </c>
      <c r="C32" s="20" t="s">
        <v>129</v>
      </c>
      <c r="D32" s="20" t="s">
        <v>130</v>
      </c>
      <c r="E32" s="20" t="str">
        <f>CONCATENATE(Table1[[#This Row],[Product Name]]," ",Table1[[#This Row],[Brand Name]])</f>
        <v>Watch Casio</v>
      </c>
      <c r="F32" s="21">
        <v>100</v>
      </c>
      <c r="G32" s="20">
        <f>IF(ISBLANK(F32),AVERAGE(Table1[Price ($)]),F32)</f>
        <v>100</v>
      </c>
      <c r="H32" s="20">
        <v>20</v>
      </c>
      <c r="I32" s="20" t="s">
        <v>85</v>
      </c>
      <c r="J32" s="19" t="str">
        <f>IF(ISBLANK(Table1[[#This Row],[Category]]),"Accessories",Table1[[#This Row],[Category]])</f>
        <v>Accessories</v>
      </c>
      <c r="K32" s="25">
        <v>9</v>
      </c>
      <c r="L32" s="24" t="s">
        <v>128</v>
      </c>
    </row>
    <row r="33" spans="2:12" ht="15.75" customHeight="1"/>
    <row r="34" spans="2:12" ht="15.75" customHeight="1"/>
    <row r="35" spans="2:12" ht="15.75" customHeight="1"/>
    <row r="36" spans="2:12" ht="15.75" customHeight="1"/>
    <row r="37" spans="2:12" ht="15.75" customHeight="1"/>
    <row r="38" spans="2:12" ht="15.75" customHeight="1"/>
    <row r="39" spans="2:12" ht="15.75" customHeight="1">
      <c r="B39" s="2" t="s">
        <v>1</v>
      </c>
    </row>
    <row r="40" spans="2:12" ht="15.75" customHeight="1">
      <c r="C40" s="3" t="s">
        <v>2</v>
      </c>
    </row>
    <row r="41" spans="2:12" ht="15.75" customHeight="1">
      <c r="B41" s="29" t="s">
        <v>131</v>
      </c>
      <c r="C41" s="30"/>
      <c r="D41" s="30"/>
      <c r="E41" s="30"/>
      <c r="F41" s="30"/>
      <c r="G41" s="30"/>
      <c r="H41" s="30"/>
      <c r="I41" s="30"/>
      <c r="J41" s="30"/>
    </row>
    <row r="42" spans="2:12" ht="15.75" customHeight="1">
      <c r="C42" s="31" t="s">
        <v>3</v>
      </c>
      <c r="D42" s="31"/>
      <c r="E42" s="31"/>
      <c r="F42" s="31"/>
      <c r="G42" s="31"/>
      <c r="H42" s="31"/>
      <c r="I42" s="31"/>
      <c r="J42" s="31"/>
      <c r="K42" s="31"/>
      <c r="L42" s="31"/>
    </row>
    <row r="43" spans="2:12" ht="15.75" customHeight="1">
      <c r="C43" s="29" t="s">
        <v>132</v>
      </c>
      <c r="D43" s="30"/>
      <c r="E43" s="30"/>
      <c r="F43" s="30"/>
      <c r="G43" s="30"/>
      <c r="H43" s="30"/>
      <c r="I43" s="30"/>
      <c r="J43" s="30"/>
      <c r="K43" s="30"/>
      <c r="L43" s="30"/>
    </row>
    <row r="44" spans="2:12" ht="15.75" customHeight="1"/>
    <row r="45" spans="2:12" ht="15.75" customHeight="1">
      <c r="B45" s="2" t="s">
        <v>4</v>
      </c>
    </row>
    <row r="46" spans="2:12" ht="15.75" customHeight="1">
      <c r="C46" s="3" t="s">
        <v>5</v>
      </c>
    </row>
    <row r="47" spans="2:12" ht="15.75" customHeight="1">
      <c r="C47" s="32" t="s">
        <v>133</v>
      </c>
      <c r="D47" s="27"/>
      <c r="E47" s="27"/>
      <c r="F47" s="27"/>
      <c r="G47" s="27"/>
      <c r="H47" s="27"/>
      <c r="I47" s="27"/>
      <c r="J47" s="27"/>
      <c r="K47" s="27"/>
    </row>
    <row r="48" spans="2:12" ht="15.75" customHeight="1">
      <c r="C48" s="3" t="s">
        <v>6</v>
      </c>
    </row>
    <row r="49" spans="2:14" ht="15.75" customHeight="1">
      <c r="C49" s="28" t="s">
        <v>134</v>
      </c>
      <c r="D49" s="27"/>
      <c r="E49" s="27"/>
      <c r="F49" s="27"/>
      <c r="G49" s="27"/>
      <c r="H49" s="27"/>
      <c r="I49" s="27"/>
      <c r="J49" s="27"/>
    </row>
    <row r="50" spans="2:14" ht="15.75" customHeight="1">
      <c r="C50" s="3" t="s">
        <v>7</v>
      </c>
    </row>
    <row r="51" spans="2:14" ht="15.75" customHeight="1">
      <c r="C51" s="27" t="s">
        <v>135</v>
      </c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</row>
    <row r="52" spans="2:14" ht="15.75" customHeight="1"/>
    <row r="53" spans="2:14" ht="15.75" customHeight="1">
      <c r="B53" s="2" t="s">
        <v>8</v>
      </c>
    </row>
    <row r="54" spans="2:14" ht="15.75" customHeight="1">
      <c r="B54" s="2"/>
      <c r="C54" s="3" t="s">
        <v>9</v>
      </c>
    </row>
    <row r="55" spans="2:14" ht="15.75" customHeight="1">
      <c r="C55" s="28" t="s">
        <v>136</v>
      </c>
      <c r="D55" s="27"/>
      <c r="E55" s="27"/>
      <c r="F55" s="27"/>
      <c r="G55" s="27"/>
      <c r="H55" s="27"/>
      <c r="I55" s="27"/>
    </row>
    <row r="56" spans="2:14" ht="15.75" customHeight="1"/>
    <row r="57" spans="2:14" ht="15.75" customHeight="1">
      <c r="B57" s="5" t="s">
        <v>10</v>
      </c>
      <c r="C57" s="6"/>
      <c r="D57" s="6"/>
      <c r="E57" s="6"/>
      <c r="F57" s="6"/>
      <c r="G57" s="6"/>
      <c r="H57" s="6"/>
      <c r="I57" s="6"/>
      <c r="J57" s="6"/>
      <c r="K57" s="6"/>
    </row>
    <row r="58" spans="2:14" ht="15.75" customHeight="1">
      <c r="B58" s="6"/>
      <c r="C58" s="7" t="s">
        <v>11</v>
      </c>
      <c r="D58" s="6"/>
      <c r="E58" s="6"/>
      <c r="F58" s="6"/>
      <c r="G58" s="6"/>
      <c r="H58" s="6"/>
      <c r="I58" s="6"/>
      <c r="J58" s="6"/>
      <c r="K58" s="6"/>
    </row>
    <row r="59" spans="2:14" ht="15.75" customHeight="1">
      <c r="C59" s="27" t="s">
        <v>137</v>
      </c>
      <c r="D59" s="27"/>
      <c r="E59" s="27"/>
      <c r="F59" s="27"/>
      <c r="G59" s="27"/>
      <c r="H59" s="27"/>
      <c r="I59" s="27"/>
      <c r="J59" s="27"/>
      <c r="K59" s="27"/>
      <c r="L59" s="27"/>
      <c r="M59" s="27"/>
    </row>
    <row r="60" spans="2:14" ht="15.75" customHeight="1">
      <c r="D60" s="11" t="s">
        <v>12</v>
      </c>
      <c r="E60" s="6"/>
      <c r="F60" s="6"/>
      <c r="G60" s="6"/>
      <c r="H60" s="6"/>
      <c r="I60" s="6"/>
      <c r="J60" s="6"/>
      <c r="K60" s="6"/>
    </row>
    <row r="61" spans="2:14" ht="15.75" customHeight="1">
      <c r="C61" s="27" t="s">
        <v>138</v>
      </c>
      <c r="D61" s="27"/>
      <c r="E61" s="27"/>
      <c r="F61" s="27"/>
      <c r="G61" s="27"/>
      <c r="H61" s="27"/>
      <c r="I61" s="27"/>
      <c r="J61" s="27"/>
      <c r="K61" s="27"/>
      <c r="L61" s="27"/>
    </row>
    <row r="62" spans="2:14" ht="15.75" customHeight="1"/>
    <row r="63" spans="2:14" ht="15.75" customHeight="1">
      <c r="B63" s="5" t="s">
        <v>13</v>
      </c>
      <c r="C63" s="6"/>
      <c r="D63" s="6"/>
      <c r="E63" s="6"/>
      <c r="F63" s="6"/>
      <c r="G63" s="6"/>
    </row>
    <row r="64" spans="2:14" ht="15.75" customHeight="1">
      <c r="B64" s="6"/>
      <c r="C64" s="7" t="s">
        <v>14</v>
      </c>
      <c r="D64" s="6"/>
      <c r="E64" s="6"/>
      <c r="F64" s="6"/>
      <c r="G64" s="6"/>
    </row>
    <row r="65" spans="2:11" ht="15.75" customHeight="1">
      <c r="C65" s="27" t="s">
        <v>139</v>
      </c>
      <c r="D65" s="27"/>
      <c r="E65" s="27"/>
      <c r="F65" s="27"/>
      <c r="G65" s="27"/>
    </row>
    <row r="66" spans="2:11" ht="15.75" customHeight="1">
      <c r="B66" s="6"/>
      <c r="C66" s="7" t="s">
        <v>15</v>
      </c>
      <c r="D66" s="6"/>
      <c r="E66" s="6"/>
      <c r="F66" s="6"/>
      <c r="G66" s="6"/>
      <c r="H66" s="6"/>
      <c r="I66" s="6"/>
    </row>
    <row r="67" spans="2:11" ht="15.75" customHeight="1">
      <c r="C67" s="27" t="s">
        <v>140</v>
      </c>
      <c r="D67" s="27"/>
      <c r="E67" s="27"/>
      <c r="F67" s="27"/>
      <c r="G67" s="27"/>
      <c r="H67" s="27"/>
    </row>
    <row r="68" spans="2:11" ht="15.75" customHeight="1"/>
    <row r="69" spans="2:11" ht="15.75" customHeight="1">
      <c r="B69" s="5" t="s">
        <v>16</v>
      </c>
      <c r="C69" s="6"/>
      <c r="D69" s="6"/>
      <c r="E69" s="6"/>
      <c r="F69" s="6"/>
      <c r="G69" s="6"/>
      <c r="H69" s="6"/>
    </row>
    <row r="70" spans="2:11" ht="15.75" customHeight="1">
      <c r="B70" s="6"/>
      <c r="C70" s="7" t="s">
        <v>17</v>
      </c>
      <c r="D70" s="6"/>
      <c r="E70" s="6"/>
      <c r="F70" s="6"/>
      <c r="G70" s="6"/>
      <c r="H70" s="6"/>
    </row>
    <row r="71" spans="2:11" ht="15.75" customHeight="1">
      <c r="C71" s="27" t="s">
        <v>141</v>
      </c>
      <c r="D71" s="27"/>
      <c r="E71" s="27"/>
      <c r="F71" s="27"/>
      <c r="G71" s="27"/>
      <c r="H71" s="27"/>
    </row>
    <row r="72" spans="2:11" ht="15.75" customHeight="1">
      <c r="C72" s="7" t="s">
        <v>18</v>
      </c>
      <c r="D72" s="6"/>
      <c r="E72" s="6"/>
      <c r="F72" s="6"/>
      <c r="G72" s="6"/>
      <c r="H72" s="6"/>
      <c r="I72" s="6"/>
      <c r="J72" s="6"/>
      <c r="K72" s="6"/>
    </row>
    <row r="73" spans="2:11" ht="15.75" customHeight="1"/>
    <row r="74" spans="2:11" ht="15.75" customHeight="1"/>
    <row r="75" spans="2:11" ht="15.75" customHeight="1"/>
    <row r="76" spans="2:11" ht="15.75" customHeight="1"/>
    <row r="77" spans="2:11" ht="15.75" customHeight="1"/>
    <row r="78" spans="2:11" ht="15.75" customHeight="1"/>
    <row r="79" spans="2:11" ht="15.75" customHeight="1"/>
    <row r="80" spans="2:11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C51:N51"/>
    <mergeCell ref="C59:M59"/>
    <mergeCell ref="B41:J41"/>
    <mergeCell ref="C43:L43"/>
    <mergeCell ref="C42:L42"/>
    <mergeCell ref="C47:K47"/>
    <mergeCell ref="C49:J49"/>
    <mergeCell ref="C67:H67"/>
    <mergeCell ref="C71:H71"/>
    <mergeCell ref="C65:G65"/>
    <mergeCell ref="C61:L61"/>
    <mergeCell ref="C55:I55"/>
  </mergeCells>
  <conditionalFormatting sqref="F2:F32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{CB2B9A67-FD48-4BFE-AA03-0FC50EDDF0C1}</x14:id>
        </ext>
      </extLst>
    </cfRule>
  </conditionalFormatting>
  <conditionalFormatting sqref="I2:I32">
    <cfRule type="cellIs" dxfId="14" priority="1" operator="equal">
      <formula>"Electronics"</formula>
    </cfRule>
  </conditionalFormatting>
  <pageMargins left="0" right="0" top="0" bottom="0" header="0" footer="0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B2B9A67-FD48-4BFE-AA03-0FC50EDDF0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2026-04-07T05:39:40Z</dcterms:created>
  <dcterms:modified xsi:type="dcterms:W3CDTF">2026-04-08T03:04:13Z</dcterms:modified>
  <cp:category/>
  <cp:contentStatus/>
</cp:coreProperties>
</file>