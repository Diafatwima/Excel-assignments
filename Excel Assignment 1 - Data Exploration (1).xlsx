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f023602364dac03/Desktop/"/>
    </mc:Choice>
  </mc:AlternateContent>
  <xr:revisionPtr revIDLastSave="108" documentId="11_AE6035745C5AC9D6C759A76D5D31450AFDAE85B8" xr6:coauthVersionLast="47" xr6:coauthVersionMax="47" xr10:uidLastSave="{DC59D1E0-B5AC-48AC-81CF-DD8A7CD5E405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M9" i="2"/>
  <c r="M8" i="2"/>
  <c r="M7" i="2"/>
  <c r="M6" i="2"/>
  <c r="M5" i="2"/>
  <c r="M4" i="2"/>
  <c r="M3" i="2"/>
  <c r="G2" i="2" a="1"/>
  <c r="G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<sst xmlns="http://schemas.openxmlformats.org/spreadsheetml/2006/main" count="170" uniqueCount="121">
  <si>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</si>
  <si>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</si>
  <si>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</si>
  <si>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</si>
  <si>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</si>
  <si>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</si>
  <si>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</si>
  <si>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</si>
  <si>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</si>
  <si>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</si>
  <si>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</si>
  <si>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</si>
  <si>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</si>
  <si>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</si>
  <si>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</si>
  <si>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</si>
  <si>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</si>
  <si>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</si>
  <si>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</si>
  <si>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</si>
  <si>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</si>
  <si>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</si>
  <si>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</si>
  <si>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</si>
  <si>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</si>
  <si>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</si>
  <si>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</si>
  <si>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</si>
  <si>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</si>
  <si>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</si>
  <si>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</si>
  <si>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</si>
  <si>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</si>
  <si>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</si>
  <si>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</si>
  <si>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</si>
  <si>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</si>
  <si>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</si>
  <si>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</si>
  <si>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</si>
  <si>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</si>
  <si>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</si>
  <si>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</si>
  <si>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</si>
  <si>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</si>
  <si>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</si>
  <si>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</si>
  <si>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</si>
  <si>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</si>
  <si>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</si>
  <si>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</si>
  <si>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</si>
  <si>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</si>
  <si>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</si>
  <si>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</si>
  <si>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</si>
  <si>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</si>
  <si>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</si>
  <si>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</si>
  <si>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</si>
  <si>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</si>
  <si>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</si>
  <si>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</si>
  <si>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</si>
  <si>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</si>
  <si>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</si>
  <si>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</si>
  <si>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</si>
  <si>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</si>
  <si>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</si>
  <si>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</si>
  <si>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</si>
  <si>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</si>
  <si>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</si>
  <si>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</si>
  <si>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</si>
  <si>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</si>
  <si>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</si>
  <si>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</si>
  <si>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</si>
  <si>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</si>
  <si>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</si>
  <si>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</si>
  <si>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</si>
  <si>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</si>
  <si>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</si>
  <si>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</si>
  <si>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</si>
  <si>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</si>
  <si>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</si>
  <si>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</si>
  <si>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</si>
  <si>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</si>
  <si>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</si>
  <si>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</si>
  <si>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</si>
  <si>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</si>
  <si>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</si>
  <si>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</si>
  <si>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</si>
  <si>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</si>
  <si>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</si>
  <si>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</si>
  <si>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</si>
  <si>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</si>
  <si>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</si>
  <si>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</si>
  <si>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</si>
  <si>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</si>
  <si>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</si>
  <si>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</si>
  <si>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 product</t>
  </si>
  <si>
    <t xml:space="preserve">Average price </t>
  </si>
  <si>
    <t>Minimum Price</t>
  </si>
  <si>
    <t>Maximum Price</t>
  </si>
  <si>
    <t>Price Range</t>
  </si>
  <si>
    <t>Total price for product in the electronic category</t>
  </si>
  <si>
    <t>Count of product with a price &lt; $100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</si>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</sst>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46CC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0" borderId="0" xfId="0" applyNumberFormat="1"/>
    <xf numFmtId="0" fontId="5" fillId="0" borderId="0" xfId="0" applyFont="1" applyAlignment="1"/>
    <xf numFmtId="0" fontId="0" fillId="0" borderId="0" xfId="0" applyAlignment="1"/>
    <xf numFmtId="49" fontId="7" fillId="4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49" fontId="8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6CCDA"/>
      <color rgb="FF57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B8" zoomScale="52" workbookViewId="0">
      <selection activeCell="H36" sqref="H36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zoomScale="103" workbookViewId="0">
      <selection activeCell="L13" sqref="L13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  <col min="8" max="8" width="10.7265625" customWidth="1"/>
    <col min="9" max="9" width="12.36328125" customWidth="1"/>
    <col min="12" max="12" width="41.26953125" customWidth="1"/>
    <col min="13" max="13" width="15" customWidth="1"/>
  </cols>
  <sheetData>
    <row r="1" spans="1:13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14" t="s">
        <v>118</v>
      </c>
      <c r="I1" s="14" t="s">
        <v>119</v>
      </c>
      <c r="J1" s="14" t="s">
        <v>120</v>
      </c>
    </row>
    <row r="2" spans="1:13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t="str" cm="1">
        <f t="array" ref="G2:G35">IF(Dataset!D2:D35&gt;=Dataset!D10,"High Price","Standard Price")</f>
        <v>High Price</v>
      </c>
      <c r="H2" s="8" t="str">
        <f>LEFT(A2,2)</f>
        <v>28</v>
      </c>
      <c r="I2" t="str">
        <f>RIGHT(A2,2)</f>
        <v>US</v>
      </c>
      <c r="J2" t="str">
        <f>MID(A2,4,3)</f>
        <v>JAN</v>
      </c>
    </row>
    <row r="3" spans="1:13" ht="15.75" customHeight="1" x14ac:dyDescent="0.3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t="str">
        <v>Standard Price</v>
      </c>
      <c r="H3" s="8" t="str">
        <f t="shared" ref="H3:H35" si="0">LEFT(A3,2)</f>
        <v>15</v>
      </c>
      <c r="I3" t="str">
        <f t="shared" ref="I3:I35" si="1">RIGHT(A3,2)</f>
        <v>US</v>
      </c>
      <c r="J3" t="str">
        <f t="shared" ref="J3:J35" si="2">MID(A3,4,3)</f>
        <v>FEB</v>
      </c>
      <c r="L3" s="11" t="s">
        <v>110</v>
      </c>
      <c r="M3" s="9">
        <f>SUM(D2:D35)</f>
        <v>10100</v>
      </c>
    </row>
    <row r="4" spans="1:13" ht="15.75" customHeight="1" x14ac:dyDescent="0.3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t="str">
        <v>Standard Price</v>
      </c>
      <c r="H4" s="8" t="str">
        <f t="shared" si="0"/>
        <v>03</v>
      </c>
      <c r="I4" t="str">
        <f t="shared" si="1"/>
        <v>US</v>
      </c>
      <c r="J4" t="str">
        <f t="shared" si="2"/>
        <v>MAR</v>
      </c>
      <c r="L4" s="12" t="s">
        <v>111</v>
      </c>
      <c r="M4">
        <f>COUNTA(Dataset!E2:E35)</f>
        <v>34</v>
      </c>
    </row>
    <row r="5" spans="1:13" ht="15.75" customHeight="1" x14ac:dyDescent="0.3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t="str">
        <v>High Price</v>
      </c>
      <c r="H5" s="8" t="str">
        <f t="shared" si="0"/>
        <v>11</v>
      </c>
      <c r="I5" t="str">
        <f t="shared" si="1"/>
        <v>US</v>
      </c>
      <c r="J5" t="str">
        <f t="shared" si="2"/>
        <v>APR</v>
      </c>
      <c r="L5" s="12" t="s">
        <v>112</v>
      </c>
      <c r="M5">
        <f>AVERAGE(D2:D35)</f>
        <v>297.05882352941177</v>
      </c>
    </row>
    <row r="6" spans="1:13" ht="15.75" customHeight="1" x14ac:dyDescent="0.3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t="str">
        <v>Standard Price</v>
      </c>
      <c r="H6" s="8" t="str">
        <f t="shared" si="0"/>
        <v>22</v>
      </c>
      <c r="I6" t="str">
        <f t="shared" si="1"/>
        <v>US</v>
      </c>
      <c r="J6" t="str">
        <f t="shared" si="2"/>
        <v>MAY</v>
      </c>
      <c r="L6" s="12" t="s">
        <v>113</v>
      </c>
      <c r="M6">
        <f>MIN(D2:D35)</f>
        <v>30</v>
      </c>
    </row>
    <row r="7" spans="1:13" ht="15.75" customHeight="1" x14ac:dyDescent="0.3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t="str">
        <v>Standard Price</v>
      </c>
      <c r="H7" s="8" t="str">
        <f t="shared" si="0"/>
        <v>07</v>
      </c>
      <c r="I7" t="str">
        <f t="shared" si="1"/>
        <v>UK</v>
      </c>
      <c r="J7" t="str">
        <f t="shared" si="2"/>
        <v>JUN</v>
      </c>
      <c r="K7" s="10"/>
      <c r="L7" s="12" t="s">
        <v>114</v>
      </c>
      <c r="M7">
        <f>MAX(D2:D35)</f>
        <v>1000</v>
      </c>
    </row>
    <row r="8" spans="1:13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t="str">
        <v>Standard Price</v>
      </c>
      <c r="H8" s="8" t="str">
        <f t="shared" si="0"/>
        <v>19</v>
      </c>
      <c r="I8" t="str">
        <f t="shared" si="1"/>
        <v>UK</v>
      </c>
      <c r="J8" t="str">
        <f t="shared" si="2"/>
        <v>JUL</v>
      </c>
      <c r="L8" s="13" t="s">
        <v>116</v>
      </c>
      <c r="M8">
        <f>SUMIF(F2:F35,"electronics",D2:D35)</f>
        <v>8050</v>
      </c>
    </row>
    <row r="9" spans="1:13" ht="15.75" customHeight="1" x14ac:dyDescent="0.3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t="str">
        <v>Standard Price</v>
      </c>
      <c r="H9" s="8" t="str">
        <f t="shared" si="0"/>
        <v>23</v>
      </c>
      <c r="I9" t="str">
        <f t="shared" si="1"/>
        <v>UK</v>
      </c>
      <c r="J9" t="str">
        <f t="shared" si="2"/>
        <v>AUG</v>
      </c>
      <c r="L9" s="12" t="s">
        <v>117</v>
      </c>
      <c r="M9">
        <f>COUNTIF(D2:D35,"&lt;100")</f>
        <v>11</v>
      </c>
    </row>
    <row r="10" spans="1:13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t="str">
        <v>High Price</v>
      </c>
      <c r="H10" s="8" t="str">
        <f t="shared" si="0"/>
        <v>05</v>
      </c>
      <c r="I10" t="str">
        <f t="shared" si="1"/>
        <v>UK</v>
      </c>
      <c r="J10" t="str">
        <f t="shared" si="2"/>
        <v>SEP</v>
      </c>
    </row>
    <row r="11" spans="1:13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t="str">
        <v>Standard Price</v>
      </c>
      <c r="H11" s="8" t="str">
        <f t="shared" si="0"/>
        <v>14</v>
      </c>
      <c r="I11" t="str">
        <f t="shared" si="1"/>
        <v>UK</v>
      </c>
      <c r="J11" t="str">
        <f t="shared" si="2"/>
        <v>OCT</v>
      </c>
    </row>
    <row r="12" spans="1:13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t="str">
        <v>High Price</v>
      </c>
      <c r="H12" s="8" t="str">
        <f t="shared" si="0"/>
        <v>17</v>
      </c>
      <c r="I12" t="str">
        <f t="shared" si="1"/>
        <v>IN</v>
      </c>
      <c r="J12" t="str">
        <f t="shared" si="2"/>
        <v>JUN</v>
      </c>
    </row>
    <row r="13" spans="1:13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t="str">
        <v>Standard Price</v>
      </c>
      <c r="H13" s="8" t="str">
        <f t="shared" si="0"/>
        <v>25</v>
      </c>
      <c r="I13" t="str">
        <f t="shared" si="1"/>
        <v>AU</v>
      </c>
      <c r="J13" t="str">
        <f t="shared" si="2"/>
        <v>NOV</v>
      </c>
    </row>
    <row r="14" spans="1:13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t="str">
        <v>Standard Price</v>
      </c>
      <c r="H14" s="8" t="str">
        <f t="shared" si="0"/>
        <v>08</v>
      </c>
      <c r="I14" t="str">
        <f t="shared" si="1"/>
        <v>DE</v>
      </c>
      <c r="J14" t="str">
        <f t="shared" si="2"/>
        <v>DEC</v>
      </c>
    </row>
    <row r="15" spans="1:13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t="str">
        <v>Standard Price</v>
      </c>
      <c r="H15" s="8" t="str">
        <f t="shared" si="0"/>
        <v>18</v>
      </c>
      <c r="I15" t="str">
        <f t="shared" si="1"/>
        <v>CA</v>
      </c>
      <c r="J15" t="str">
        <f t="shared" si="2"/>
        <v>FEB</v>
      </c>
    </row>
    <row r="16" spans="1:13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t="str">
        <v>Standard Price</v>
      </c>
      <c r="H16" s="8" t="str">
        <f t="shared" si="0"/>
        <v>16</v>
      </c>
      <c r="I16" t="str">
        <f t="shared" si="1"/>
        <v>ES</v>
      </c>
      <c r="J16" t="str">
        <f t="shared" si="2"/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t="str">
        <v>Standard Price</v>
      </c>
      <c r="H17" s="8" t="str">
        <f t="shared" si="0"/>
        <v>21</v>
      </c>
      <c r="I17" t="str">
        <f t="shared" si="1"/>
        <v>CA</v>
      </c>
      <c r="J17" t="str">
        <f t="shared" si="2"/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t="str">
        <v>Standard Price</v>
      </c>
      <c r="H18" s="8" t="str">
        <f t="shared" si="0"/>
        <v>20</v>
      </c>
      <c r="I18" t="str">
        <f t="shared" si="1"/>
        <v>CN</v>
      </c>
      <c r="J18" t="str">
        <f t="shared" si="2"/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t="str">
        <v>High Price</v>
      </c>
      <c r="H19" s="8" t="str">
        <f t="shared" si="0"/>
        <v>27</v>
      </c>
      <c r="I19" t="str">
        <f t="shared" si="1"/>
        <v>IT</v>
      </c>
      <c r="J19" t="str">
        <f t="shared" si="2"/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t="str">
        <v>Standard Price</v>
      </c>
      <c r="H20" s="8" t="str">
        <f t="shared" si="0"/>
        <v>01</v>
      </c>
      <c r="I20" t="str">
        <f t="shared" si="1"/>
        <v>UK</v>
      </c>
      <c r="J20" t="str">
        <f t="shared" si="2"/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t="str">
        <v>Standard Price</v>
      </c>
      <c r="H21" s="8" t="str">
        <f t="shared" si="0"/>
        <v>14</v>
      </c>
      <c r="I21" t="str">
        <f t="shared" si="1"/>
        <v>US</v>
      </c>
      <c r="J21" t="str">
        <f t="shared" si="2"/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t="str">
        <v>High Price</v>
      </c>
      <c r="H22" s="8" t="str">
        <f t="shared" si="0"/>
        <v>14</v>
      </c>
      <c r="I22" t="str">
        <f t="shared" si="1"/>
        <v>RU</v>
      </c>
      <c r="J22" t="str">
        <f t="shared" si="2"/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t="str">
        <v>Standard Price</v>
      </c>
      <c r="H23" s="8" t="str">
        <f t="shared" si="0"/>
        <v>09</v>
      </c>
      <c r="I23" t="str">
        <f t="shared" si="1"/>
        <v>CA</v>
      </c>
      <c r="J23" t="str">
        <f t="shared" si="2"/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t="str">
        <v>Standard Price</v>
      </c>
      <c r="H24" s="8" t="str">
        <f t="shared" si="0"/>
        <v>19</v>
      </c>
      <c r="I24" t="str">
        <f t="shared" si="1"/>
        <v>BR</v>
      </c>
      <c r="J24" t="str">
        <f t="shared" si="2"/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t="str">
        <v>Standard Price</v>
      </c>
      <c r="H25" s="8" t="str">
        <f t="shared" si="0"/>
        <v>21</v>
      </c>
      <c r="I25" t="str">
        <f t="shared" si="1"/>
        <v>CA</v>
      </c>
      <c r="J25" t="str">
        <f t="shared" si="2"/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t="str">
        <v>High Price</v>
      </c>
      <c r="H26" s="8" t="str">
        <f t="shared" si="0"/>
        <v>29</v>
      </c>
      <c r="I26" t="str">
        <f t="shared" si="1"/>
        <v>CA</v>
      </c>
      <c r="J26" t="str">
        <f t="shared" si="2"/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t="str">
        <v>Standard Price</v>
      </c>
      <c r="H27" s="8" t="str">
        <f t="shared" si="0"/>
        <v>03</v>
      </c>
      <c r="I27" t="str">
        <f t="shared" si="1"/>
        <v>CA</v>
      </c>
      <c r="J27" t="str">
        <f t="shared" si="2"/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t="str">
        <v>Standard Price</v>
      </c>
      <c r="H28" s="8" t="str">
        <f t="shared" si="0"/>
        <v>11</v>
      </c>
      <c r="I28" t="str">
        <f t="shared" si="1"/>
        <v>CA</v>
      </c>
      <c r="J28" t="str">
        <f t="shared" si="2"/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t="str">
        <v>Standard Price</v>
      </c>
      <c r="H29" s="8" t="str">
        <f t="shared" si="0"/>
        <v>16</v>
      </c>
      <c r="I29" t="str">
        <f t="shared" si="1"/>
        <v>ES</v>
      </c>
      <c r="J29" t="str">
        <f t="shared" si="2"/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t="str">
        <v>Standard Price</v>
      </c>
      <c r="H30" s="8" t="str">
        <f t="shared" si="0"/>
        <v>07</v>
      </c>
      <c r="I30" t="str">
        <f t="shared" si="1"/>
        <v>CA</v>
      </c>
      <c r="J30" t="str">
        <f t="shared" si="2"/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t="str">
        <v>Standard Price</v>
      </c>
      <c r="H31" s="8" t="str">
        <f t="shared" si="0"/>
        <v>13</v>
      </c>
      <c r="I31" t="str">
        <f t="shared" si="1"/>
        <v>CA</v>
      </c>
      <c r="J31" t="str">
        <f t="shared" si="2"/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t="str">
        <v>Standard Price</v>
      </c>
      <c r="H32" s="8" t="str">
        <f t="shared" si="0"/>
        <v>24</v>
      </c>
      <c r="I32" t="str">
        <f t="shared" si="1"/>
        <v>CA</v>
      </c>
      <c r="J32" t="str">
        <f t="shared" si="2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t="str">
        <v>Standard Price</v>
      </c>
      <c r="H33" s="8" t="str">
        <f t="shared" si="0"/>
        <v>02</v>
      </c>
      <c r="I33" t="str">
        <f t="shared" si="1"/>
        <v>CA</v>
      </c>
      <c r="J33" t="str">
        <f t="shared" si="2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t="str">
        <v>High Price</v>
      </c>
      <c r="H34" s="8" t="str">
        <f t="shared" si="0"/>
        <v>17</v>
      </c>
      <c r="I34" t="str">
        <f t="shared" si="1"/>
        <v>IN</v>
      </c>
      <c r="J34" t="str">
        <f t="shared" si="2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t="str">
        <v>Standard Price</v>
      </c>
      <c r="H35" s="8" t="str">
        <f t="shared" si="0"/>
        <v>09</v>
      </c>
      <c r="I35" t="str">
        <f t="shared" si="1"/>
        <v>FR</v>
      </c>
      <c r="J35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 fatwima</cp:lastModifiedBy>
  <dcterms:modified xsi:type="dcterms:W3CDTF">2026-03-27T11:32:15Z</dcterms:modified>
</cp:coreProperties>
</file>